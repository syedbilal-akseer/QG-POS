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lal Ansari\ACCOUNT &amp; FINANCE\Abdul Rehman\Price List\New Working\POS DATA\Chemical\"/>
    </mc:Choice>
  </mc:AlternateContent>
  <xr:revisionPtr revIDLastSave="0" documentId="13_ncr:1_{333A0F1D-73AF-495C-8B18-E1EA334ECE0C}" xr6:coauthVersionLast="47" xr6:coauthVersionMax="47" xr10:uidLastSave="{00000000-0000-0000-0000-000000000000}"/>
  <bookViews>
    <workbookView xWindow="-108" yWindow="-108" windowWidth="23256" windowHeight="12456" xr2:uid="{0276C22A-FF18-4D35-9446-AB18912BF3B9}"/>
  </bookViews>
  <sheets>
    <sheet name="ALL" sheetId="1" r:id="rId1"/>
    <sheet name="Sheet1" sheetId="2" r:id="rId2"/>
  </sheets>
  <externalReferences>
    <externalReference r:id="rId3"/>
  </externalReferences>
  <definedNames>
    <definedName name="_xlnm._FilterDatabase" localSheetId="0" hidden="1">ALL!$A$1:$R$47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2" i="1"/>
  <c r="E43" i="1"/>
  <c r="E44" i="1"/>
  <c r="E45" i="1"/>
  <c r="E46" i="1"/>
  <c r="E47" i="1"/>
  <c r="E2" i="1"/>
  <c r="H41" i="1" l="1"/>
  <c r="E41" i="1" s="1"/>
  <c r="H40" i="1"/>
  <c r="E40" i="1" s="1"/>
  <c r="H39" i="1"/>
  <c r="E39" i="1" s="1"/>
  <c r="H38" i="1"/>
  <c r="E38" i="1" s="1"/>
  <c r="H37" i="1"/>
  <c r="E37" i="1" s="1"/>
  <c r="H36" i="1"/>
  <c r="E36" i="1" s="1"/>
  <c r="H35" i="1"/>
  <c r="E35" i="1" s="1"/>
  <c r="H34" i="1"/>
  <c r="E34" i="1" s="1"/>
  <c r="H33" i="1"/>
  <c r="E33" i="1" s="1"/>
  <c r="H32" i="1"/>
  <c r="E32" i="1" s="1"/>
  <c r="H31" i="1"/>
  <c r="E31" i="1" s="1"/>
  <c r="H30" i="1"/>
  <c r="E30" i="1" s="1"/>
  <c r="H29" i="1"/>
  <c r="E29" i="1" s="1"/>
  <c r="H28" i="1"/>
  <c r="E28" i="1" s="1"/>
  <c r="H27" i="1"/>
  <c r="E27" i="1" s="1"/>
  <c r="H26" i="1"/>
  <c r="E26" i="1" s="1"/>
  <c r="H25" i="1"/>
  <c r="E25" i="1" s="1"/>
  <c r="H24" i="1"/>
  <c r="E24" i="1" s="1"/>
</calcChain>
</file>

<file path=xl/sharedStrings.xml><?xml version="1.0" encoding="utf-8"?>
<sst xmlns="http://schemas.openxmlformats.org/spreadsheetml/2006/main" count="410" uniqueCount="83">
  <si>
    <t>Major_Desc</t>
  </si>
  <si>
    <t>Minor_Desc</t>
  </si>
  <si>
    <t>Sub Minor Desc</t>
  </si>
  <si>
    <t>Brand</t>
  </si>
  <si>
    <t>Item Code</t>
  </si>
  <si>
    <t>Item Description</t>
  </si>
  <si>
    <t>UOM</t>
  </si>
  <si>
    <t>Karachi - Trade Price</t>
  </si>
  <si>
    <t>Karachi-Wholesale</t>
  </si>
  <si>
    <t>Karachi - Corporate</t>
  </si>
  <si>
    <t>Lahore - Trade Price</t>
  </si>
  <si>
    <t>Lahore - Wholesale</t>
  </si>
  <si>
    <t>Lahore - Corporate</t>
  </si>
  <si>
    <t>QG HBM</t>
  </si>
  <si>
    <t>End Date</t>
  </si>
  <si>
    <t>Start Date</t>
  </si>
  <si>
    <t>KG</t>
  </si>
  <si>
    <t xml:space="preserve">BAG  </t>
  </si>
  <si>
    <t xml:space="preserve">DRM  </t>
  </si>
  <si>
    <t>0126-0028</t>
  </si>
  <si>
    <t>0126-0001</t>
  </si>
  <si>
    <t>0126-0041</t>
  </si>
  <si>
    <t>0152-0042</t>
  </si>
  <si>
    <t>0126-0007</t>
  </si>
  <si>
    <t>0126-0025</t>
  </si>
  <si>
    <t>0152-0016</t>
  </si>
  <si>
    <t>0126-0017</t>
  </si>
  <si>
    <t>0126-0032</t>
  </si>
  <si>
    <t>0126-0008</t>
  </si>
  <si>
    <t>0126-0023</t>
  </si>
  <si>
    <t>0126-0030</t>
  </si>
  <si>
    <t>0126-0037</t>
  </si>
  <si>
    <t>0126-0040</t>
  </si>
  <si>
    <t>0126-0021</t>
  </si>
  <si>
    <t>0126-0004</t>
  </si>
  <si>
    <t>0126-0009</t>
  </si>
  <si>
    <t>0126-0035</t>
  </si>
  <si>
    <t>0176-0019</t>
  </si>
  <si>
    <t>0176-0009</t>
  </si>
  <si>
    <t>0176-0006</t>
  </si>
  <si>
    <t>0176-0018</t>
  </si>
  <si>
    <t>RAW MATERIAL</t>
  </si>
  <si>
    <t>SOLVENT &amp; CHEMICAL</t>
  </si>
  <si>
    <t>LIQUID CHEMICAL</t>
  </si>
  <si>
    <t>FINISHED GOODS</t>
  </si>
  <si>
    <t>HARDENER &amp; PRIMER</t>
  </si>
  <si>
    <t>PRIMER RP</t>
  </si>
  <si>
    <t>RP</t>
  </si>
  <si>
    <t>SOLID CHEMICAL</t>
  </si>
  <si>
    <t>Xylene 180 kg Drum</t>
  </si>
  <si>
    <t>Xylene Bulk in Liters</t>
  </si>
  <si>
    <t>LT</t>
  </si>
  <si>
    <t>Xylene 210Ltr Drum</t>
  </si>
  <si>
    <t>Xylene 25 kg  Net Can</t>
  </si>
  <si>
    <t>MC 270kg Drum China</t>
  </si>
  <si>
    <t>MC  Bulk in kgs</t>
  </si>
  <si>
    <t>MC 25 Kg Can</t>
  </si>
  <si>
    <t>Methyl Acetate 180kg Drum TB</t>
  </si>
  <si>
    <t>Methyl Acetate 87% 180KG Drum TB</t>
  </si>
  <si>
    <t>Methyl Acetate 190kg Drum</t>
  </si>
  <si>
    <t>Methyl Acetate Bulk</t>
  </si>
  <si>
    <t>Methyl Acetate 87% 190Kg Drum</t>
  </si>
  <si>
    <t>Methyl Methacrylate Bulk</t>
  </si>
  <si>
    <t>Propylene Glycol Monomethyl Ether Acetate (PMA)  200Kg Net Drum China</t>
  </si>
  <si>
    <t>Solvent CYC CycloHexanon 190kg Drum China</t>
  </si>
  <si>
    <t>Solvent OXY CYC CycloHexanon 190kg Drum</t>
  </si>
  <si>
    <t>Solvent CycloHexanon 25Kg Net Can</t>
  </si>
  <si>
    <t>Cyclohexane Drum 160Kg Net</t>
  </si>
  <si>
    <t>Resin PU  23030  25kg Bag</t>
  </si>
  <si>
    <t>Ribetac 7522E 25 Kg Bag</t>
  </si>
  <si>
    <t>Hydrocarbon Resin C-9  25kg Bag</t>
  </si>
  <si>
    <t>CR 244-4 25kg Bag</t>
  </si>
  <si>
    <t>0176-0017</t>
  </si>
  <si>
    <t>Rubber Natural Raw TPC 3 25kg Bale</t>
  </si>
  <si>
    <t>0176-0034</t>
  </si>
  <si>
    <t>Resin PU WHT-6430S (Wanthane) 25Kg Bag</t>
  </si>
  <si>
    <t>0126-0026</t>
  </si>
  <si>
    <t>Ethyl Acetate 99% PU Alpha Grade 180kg Net Drum</t>
  </si>
  <si>
    <t>Description</t>
  </si>
  <si>
    <t>MC Bulk in kgs</t>
  </si>
  <si>
    <t>TCHM-8200  160Kg Drum</t>
  </si>
  <si>
    <t>RRH-2090 25KG Bag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</si>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</sst>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 Bold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15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1" applyNumberFormat="1" applyFont="1"/>
    <xf numFmtId="165" fontId="3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0" xfId="0" applyFont="1" applyFill="1" applyAlignment="1">
      <alignment vertical="top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/>
    <xf numFmtId="15" fontId="0" fillId="0" borderId="0" xfId="0" applyNumberFormat="1" applyFill="1"/>
    <xf numFmtId="0" fontId="0" fillId="0" borderId="0" xfId="0" applyFill="1" applyAlignment="1">
      <alignment horizontal="center" vertical="center"/>
    </xf>
    <xf numFmtId="1" fontId="5" fillId="0" borderId="0" xfId="0" applyNumberFormat="1" applyFont="1" applyFill="1" applyAlignment="1">
      <alignment horizontal="center"/>
    </xf>
    <xf numFmtId="0" fontId="1" fillId="0" borderId="0" xfId="0" applyFont="1" applyFill="1"/>
    <xf numFmtId="1" fontId="2" fillId="0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OD%20format%20&amp;%20items/BOD%20format%20&amp;%20items/Chemicals%20code.xlsx" TargetMode="External"/><Relationship Id="rId2" Type="http://schemas.openxmlformats.org/officeDocument/2006/relationships/externalLinkPath" Target="file:///D:\Bilal%20Ansari\ACCOUNT%20&amp;%20FINANCE\Abdul%20Rehman\Price%20List\New%20Working\BOD%20format%20&amp;%20items\BOD%20format%20&amp;%20items\Chemicals%20code.xlsx" TargetMode="External"/><Relationship Id="rId1" Type="http://schemas.openxmlformats.org/officeDocument/2006/relationships/externalLinkPath" Target="/Bilal%20Ansari/ACCOUNT%20&amp;%20FINANCE/Abdul%20Rehman/Price%20List/New%20Working/BOD%20format%20&amp;%20items/BOD%20format%20&amp;%20items/Chemicals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hi"/>
      <sheetName val="4-May-26"/>
    </sheetNames>
    <sheetDataSet>
      <sheetData sheetId="0">
        <row r="2">
          <cell r="P2" t="str">
            <v>New item Code</v>
          </cell>
          <cell r="S2" t="str">
            <v xml:space="preserve">Secondary UOM </v>
          </cell>
        </row>
        <row r="3">
          <cell r="P3" t="str">
            <v>0152-0029</v>
          </cell>
          <cell r="S3" t="str">
            <v xml:space="preserve">DRM  </v>
          </cell>
        </row>
        <row r="4">
          <cell r="P4" t="str">
            <v>0152-0018</v>
          </cell>
          <cell r="S4" t="str">
            <v xml:space="preserve">DRM  </v>
          </cell>
        </row>
        <row r="5">
          <cell r="P5" t="str">
            <v/>
          </cell>
          <cell r="S5" t="str">
            <v/>
          </cell>
        </row>
        <row r="6">
          <cell r="P6" t="str">
            <v>0126-0033</v>
          </cell>
          <cell r="S6" t="str">
            <v xml:space="preserve">DRM  </v>
          </cell>
        </row>
        <row r="7">
          <cell r="P7" t="str">
            <v/>
          </cell>
          <cell r="S7" t="str">
            <v/>
          </cell>
        </row>
        <row r="8">
          <cell r="P8" t="str">
            <v>0126-0015</v>
          </cell>
          <cell r="S8" t="str">
            <v xml:space="preserve">DRM  </v>
          </cell>
        </row>
        <row r="9">
          <cell r="P9" t="str">
            <v>0126-0013</v>
          </cell>
          <cell r="S9" t="str">
            <v xml:space="preserve">DRM  </v>
          </cell>
        </row>
        <row r="10">
          <cell r="P10" t="str">
            <v>0126-0003</v>
          </cell>
          <cell r="S10" t="str">
            <v xml:space="preserve">DRM  </v>
          </cell>
        </row>
        <row r="11">
          <cell r="P11" t="str">
            <v>0126-0002</v>
          </cell>
          <cell r="S11" t="str">
            <v xml:space="preserve">  </v>
          </cell>
        </row>
        <row r="12">
          <cell r="P12" t="str">
            <v>0126-0036</v>
          </cell>
          <cell r="S12" t="str">
            <v xml:space="preserve">DRM  </v>
          </cell>
        </row>
        <row r="13">
          <cell r="P13" t="str">
            <v>0126-0016</v>
          </cell>
          <cell r="S13" t="str">
            <v xml:space="preserve">DRM  </v>
          </cell>
        </row>
        <row r="14">
          <cell r="P14" t="str">
            <v>0126-0019</v>
          </cell>
          <cell r="S14" t="str">
            <v xml:space="preserve">CAN  </v>
          </cell>
        </row>
        <row r="15">
          <cell r="P15" t="str">
            <v>0126-0042</v>
          </cell>
          <cell r="S15" t="str">
            <v xml:space="preserve">DRM  </v>
          </cell>
        </row>
        <row r="16">
          <cell r="P16" t="str">
            <v>0126-0027</v>
          </cell>
          <cell r="S16" t="str">
            <v xml:space="preserve">DRM  </v>
          </cell>
        </row>
        <row r="17">
          <cell r="P17" t="str">
            <v>0126-0043</v>
          </cell>
          <cell r="S17" t="str">
            <v xml:space="preserve">  </v>
          </cell>
        </row>
        <row r="18">
          <cell r="P18" t="str">
            <v>0126-0028</v>
          </cell>
          <cell r="S18" t="str">
            <v xml:space="preserve">DRM  </v>
          </cell>
        </row>
        <row r="19">
          <cell r="P19" t="str">
            <v>0126-0001</v>
          </cell>
          <cell r="S19" t="str">
            <v xml:space="preserve">  </v>
          </cell>
        </row>
        <row r="20">
          <cell r="P20" t="str">
            <v>0126-0041</v>
          </cell>
          <cell r="S20" t="str">
            <v xml:space="preserve">DRM  </v>
          </cell>
        </row>
        <row r="21">
          <cell r="P21" t="str">
            <v>0152-0042</v>
          </cell>
          <cell r="S21" t="str">
            <v xml:space="preserve">CAN  </v>
          </cell>
        </row>
        <row r="22">
          <cell r="S22" t="str">
            <v/>
          </cell>
        </row>
        <row r="23">
          <cell r="S23" t="str">
            <v/>
          </cell>
        </row>
        <row r="24">
          <cell r="P24" t="str">
            <v>0126-0007</v>
          </cell>
          <cell r="S24" t="str">
            <v xml:space="preserve">DRM  </v>
          </cell>
        </row>
        <row r="25">
          <cell r="P25" t="str">
            <v>0126-0025</v>
          </cell>
          <cell r="S25" t="str">
            <v xml:space="preserve">  </v>
          </cell>
        </row>
        <row r="26">
          <cell r="P26" t="str">
            <v>0152-0016</v>
          </cell>
          <cell r="S26" t="str">
            <v xml:space="preserve">CAN  </v>
          </cell>
        </row>
        <row r="27">
          <cell r="P27" t="str">
            <v/>
          </cell>
          <cell r="S27" t="str">
            <v/>
          </cell>
        </row>
        <row r="28">
          <cell r="P28" t="str">
            <v>0126-0017</v>
          </cell>
          <cell r="S28" t="str">
            <v xml:space="preserve">DRM  </v>
          </cell>
        </row>
        <row r="29">
          <cell r="P29" t="str">
            <v>0126-0032</v>
          </cell>
          <cell r="S29" t="str">
            <v xml:space="preserve">DRM  </v>
          </cell>
        </row>
        <row r="30">
          <cell r="P30" t="str">
            <v>0126-0008</v>
          </cell>
          <cell r="S30" t="str">
            <v xml:space="preserve">DRM  </v>
          </cell>
        </row>
        <row r="31">
          <cell r="P31" t="str">
            <v>0126-0023</v>
          </cell>
          <cell r="S31" t="str">
            <v xml:space="preserve">  </v>
          </cell>
        </row>
        <row r="32">
          <cell r="P32" t="str">
            <v>0126-0030</v>
          </cell>
          <cell r="S32" t="str">
            <v xml:space="preserve">DRM  </v>
          </cell>
        </row>
        <row r="33">
          <cell r="P33" t="str">
            <v>0126-0037</v>
          </cell>
          <cell r="S33" t="str">
            <v xml:space="preserve">  </v>
          </cell>
        </row>
        <row r="34">
          <cell r="P34" t="str">
            <v>0126-0040</v>
          </cell>
          <cell r="S34" t="str">
            <v xml:space="preserve">DRM  </v>
          </cell>
        </row>
        <row r="35">
          <cell r="P35" t="str">
            <v>0126-0031</v>
          </cell>
          <cell r="S35" t="str">
            <v xml:space="preserve">DRM  </v>
          </cell>
        </row>
        <row r="36">
          <cell r="P36" t="str">
            <v>0126-0021</v>
          </cell>
          <cell r="S36" t="str">
            <v xml:space="preserve">DRM  </v>
          </cell>
        </row>
        <row r="37">
          <cell r="P37" t="str">
            <v>0126-0004</v>
          </cell>
          <cell r="S37" t="str">
            <v xml:space="preserve">DRM  </v>
          </cell>
        </row>
        <row r="38">
          <cell r="P38" t="str">
            <v>0126-0009</v>
          </cell>
          <cell r="S38" t="str">
            <v xml:space="preserve">CAN  </v>
          </cell>
        </row>
        <row r="39">
          <cell r="P39" t="str">
            <v>0126-0035</v>
          </cell>
          <cell r="S39" t="str">
            <v xml:space="preserve">DRM  </v>
          </cell>
        </row>
        <row r="40">
          <cell r="S40" t="str">
            <v/>
          </cell>
        </row>
        <row r="41">
          <cell r="P41" t="str">
            <v>0126-0022</v>
          </cell>
          <cell r="S41" t="str">
            <v xml:space="preserve">DRM  </v>
          </cell>
        </row>
        <row r="42">
          <cell r="P42" t="str">
            <v>0152-0018</v>
          </cell>
          <cell r="S42" t="str">
            <v xml:space="preserve">DRM  </v>
          </cell>
        </row>
        <row r="43">
          <cell r="P43" t="str">
            <v>0152-0029</v>
          </cell>
          <cell r="S43" t="str">
            <v xml:space="preserve">DRM  </v>
          </cell>
        </row>
        <row r="44">
          <cell r="P44" t="str">
            <v/>
          </cell>
          <cell r="S44" t="str">
            <v/>
          </cell>
        </row>
        <row r="45">
          <cell r="P45" t="str">
            <v>0176-0019</v>
          </cell>
          <cell r="S45" t="str">
            <v xml:space="preserve">BAG  </v>
          </cell>
        </row>
        <row r="46">
          <cell r="P46" t="str">
            <v>0176-0009</v>
          </cell>
          <cell r="S46" t="str">
            <v xml:space="preserve">BAG  </v>
          </cell>
        </row>
        <row r="47">
          <cell r="P47" t="str">
            <v>0176-0021</v>
          </cell>
          <cell r="S47" t="str">
            <v xml:space="preserve">BAG  </v>
          </cell>
        </row>
        <row r="48">
          <cell r="P48" t="str">
            <v>0176-0006</v>
          </cell>
          <cell r="S48" t="str">
            <v xml:space="preserve">BAG  </v>
          </cell>
        </row>
        <row r="49">
          <cell r="P49" t="str">
            <v>0176-0018</v>
          </cell>
          <cell r="S49" t="str">
            <v xml:space="preserve">BAG  </v>
          </cell>
        </row>
        <row r="50">
          <cell r="P50" t="str">
            <v>0176-0007</v>
          </cell>
          <cell r="S50" t="str">
            <v xml:space="preserve">BAG  </v>
          </cell>
        </row>
        <row r="51">
          <cell r="P51" t="str">
            <v>0176-0014</v>
          </cell>
          <cell r="S51" t="str">
            <v xml:space="preserve">BAG  </v>
          </cell>
        </row>
        <row r="52">
          <cell r="P52" t="str">
            <v>0176-0011</v>
          </cell>
          <cell r="S52" t="str">
            <v xml:space="preserve">BAG  </v>
          </cell>
        </row>
        <row r="53">
          <cell r="P53" t="str">
            <v/>
          </cell>
          <cell r="S53" t="str">
            <v/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AFA7-C12D-4D50-ACD5-487DCF042404}">
  <dimension ref="A1:Q781"/>
  <sheetViews>
    <sheetView tabSelected="1" topLeftCell="H1" workbookViewId="0">
      <selection activeCell="P2" sqref="P2"/>
    </sheetView>
  </sheetViews>
  <sheetFormatPr defaultRowHeight="14.4" x14ac:dyDescent="0.3"/>
  <cols>
    <col min="1" max="1" width="15.44140625" bestFit="1" customWidth="1"/>
    <col min="2" max="2" width="24.33203125" bestFit="1" customWidth="1"/>
    <col min="3" max="3" width="22.21875" bestFit="1" customWidth="1"/>
    <col min="4" max="4" width="20.44140625" bestFit="1" customWidth="1"/>
    <col min="5" max="5" width="20.44140625" customWidth="1"/>
    <col min="6" max="6" width="14.109375" bestFit="1" customWidth="1"/>
    <col min="7" max="7" width="62.88671875" bestFit="1" customWidth="1"/>
    <col min="8" max="8" width="9.88671875" bestFit="1" customWidth="1"/>
    <col min="9" max="9" width="22.77734375" bestFit="1" customWidth="1"/>
    <col min="10" max="10" width="21.109375" bestFit="1" customWidth="1"/>
    <col min="11" max="11" width="21.88671875" bestFit="1" customWidth="1"/>
    <col min="12" max="12" width="22.33203125" bestFit="1" customWidth="1"/>
    <col min="13" max="13" width="21.6640625" bestFit="1" customWidth="1"/>
    <col min="14" max="14" width="21.33203125" bestFit="1" customWidth="1"/>
    <col min="15" max="15" width="12.5546875" bestFit="1" customWidth="1"/>
    <col min="16" max="16" width="13" bestFit="1" customWidth="1"/>
    <col min="17" max="17" width="13.77734375" bestFit="1" customWidth="1"/>
    <col min="18" max="18" width="13.2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s="21" customFormat="1" x14ac:dyDescent="0.3">
      <c r="A2" s="19" t="s">
        <v>41</v>
      </c>
      <c r="B2" s="19" t="s">
        <v>42</v>
      </c>
      <c r="C2" s="19" t="s">
        <v>43</v>
      </c>
      <c r="D2" s="19" t="s">
        <v>43</v>
      </c>
      <c r="E2" s="19" t="str">
        <f>+F2&amp;H2</f>
        <v>0126-0028KG</v>
      </c>
      <c r="F2" s="19" t="s">
        <v>19</v>
      </c>
      <c r="G2" s="19" t="s">
        <v>49</v>
      </c>
      <c r="H2" s="19" t="s">
        <v>16</v>
      </c>
      <c r="I2" s="20">
        <v>218.25</v>
      </c>
      <c r="J2" s="20">
        <v>225</v>
      </c>
      <c r="K2" s="20">
        <v>236.84210526315792</v>
      </c>
      <c r="L2" s="20">
        <v>233.9521970062772</v>
      </c>
      <c r="M2" s="20">
        <v>229.12844036697251</v>
      </c>
      <c r="N2" s="20">
        <v>241.18783196523424</v>
      </c>
      <c r="P2" s="22">
        <v>46175</v>
      </c>
      <c r="Q2" s="22">
        <v>46176</v>
      </c>
    </row>
    <row r="3" spans="1:17" s="21" customFormat="1" x14ac:dyDescent="0.3">
      <c r="A3" s="19" t="s">
        <v>41</v>
      </c>
      <c r="B3" s="19" t="s">
        <v>42</v>
      </c>
      <c r="C3" s="19" t="s">
        <v>43</v>
      </c>
      <c r="D3" s="19" t="s">
        <v>43</v>
      </c>
      <c r="E3" s="19" t="str">
        <f t="shared" ref="E3:E47" si="0">+F3&amp;H3</f>
        <v>0126-0001LT</v>
      </c>
      <c r="F3" s="19" t="s">
        <v>20</v>
      </c>
      <c r="G3" s="19" t="s">
        <v>50</v>
      </c>
      <c r="H3" s="19" t="s">
        <v>51</v>
      </c>
      <c r="I3" s="20">
        <v>218.25</v>
      </c>
      <c r="J3" s="20">
        <v>225</v>
      </c>
      <c r="K3" s="20">
        <v>236.84210526315792</v>
      </c>
      <c r="L3" s="20">
        <v>233.9521970062772</v>
      </c>
      <c r="M3" s="20">
        <v>229.12844036697251</v>
      </c>
      <c r="N3" s="20">
        <v>241.18783196523424</v>
      </c>
      <c r="P3" s="22">
        <v>46175</v>
      </c>
      <c r="Q3" s="22">
        <v>46176</v>
      </c>
    </row>
    <row r="4" spans="1:17" s="21" customFormat="1" x14ac:dyDescent="0.3">
      <c r="A4" s="19" t="s">
        <v>41</v>
      </c>
      <c r="B4" s="19" t="s">
        <v>42</v>
      </c>
      <c r="C4" s="19" t="s">
        <v>43</v>
      </c>
      <c r="D4" s="19" t="s">
        <v>43</v>
      </c>
      <c r="E4" s="19" t="str">
        <f t="shared" si="0"/>
        <v>0126-0041LT</v>
      </c>
      <c r="F4" s="19" t="s">
        <v>21</v>
      </c>
      <c r="G4" s="19" t="s">
        <v>52</v>
      </c>
      <c r="H4" s="19" t="s">
        <v>51</v>
      </c>
      <c r="I4" s="20">
        <v>218.25</v>
      </c>
      <c r="J4" s="20">
        <v>225</v>
      </c>
      <c r="K4" s="20">
        <v>236.84210526315792</v>
      </c>
      <c r="L4" s="20">
        <v>233.9521970062772</v>
      </c>
      <c r="M4" s="20">
        <v>229.12844036697251</v>
      </c>
      <c r="N4" s="20">
        <v>241.18783196523424</v>
      </c>
      <c r="P4" s="22">
        <v>46175</v>
      </c>
      <c r="Q4" s="22">
        <v>46176</v>
      </c>
    </row>
    <row r="5" spans="1:17" s="21" customFormat="1" x14ac:dyDescent="0.3">
      <c r="A5" s="19" t="s">
        <v>44</v>
      </c>
      <c r="B5" s="19" t="s">
        <v>45</v>
      </c>
      <c r="C5" s="19" t="s">
        <v>46</v>
      </c>
      <c r="D5" s="19" t="s">
        <v>47</v>
      </c>
      <c r="E5" s="19" t="str">
        <f t="shared" si="0"/>
        <v>0152-0042KG</v>
      </c>
      <c r="F5" s="19" t="s">
        <v>22</v>
      </c>
      <c r="G5" s="19" t="s">
        <v>53</v>
      </c>
      <c r="H5" s="19" t="s">
        <v>16</v>
      </c>
      <c r="I5" s="20">
        <v>218.25</v>
      </c>
      <c r="J5" s="20">
        <v>225</v>
      </c>
      <c r="K5" s="20">
        <v>236.84210526315792</v>
      </c>
      <c r="L5" s="20">
        <v>233.9521970062772</v>
      </c>
      <c r="M5" s="20">
        <v>229.12844036697251</v>
      </c>
      <c r="N5" s="20">
        <v>241.18783196523424</v>
      </c>
      <c r="P5" s="22">
        <v>46175</v>
      </c>
      <c r="Q5" s="22">
        <v>46176</v>
      </c>
    </row>
    <row r="6" spans="1:17" s="21" customFormat="1" x14ac:dyDescent="0.3">
      <c r="A6" s="19" t="s">
        <v>41</v>
      </c>
      <c r="B6" s="19" t="s">
        <v>42</v>
      </c>
      <c r="C6" s="19" t="s">
        <v>43</v>
      </c>
      <c r="D6" s="19" t="s">
        <v>43</v>
      </c>
      <c r="E6" s="19" t="str">
        <f t="shared" si="0"/>
        <v>0126-0007KG</v>
      </c>
      <c r="F6" s="19" t="s">
        <v>23</v>
      </c>
      <c r="G6" s="19" t="s">
        <v>54</v>
      </c>
      <c r="H6" s="19" t="s">
        <v>16</v>
      </c>
      <c r="I6" s="20">
        <v>242.5</v>
      </c>
      <c r="J6" s="20">
        <v>250</v>
      </c>
      <c r="K6" s="20">
        <v>263.15789473684214</v>
      </c>
      <c r="L6" s="20">
        <v>259.94688556253027</v>
      </c>
      <c r="M6" s="20">
        <v>254.58715596330282</v>
      </c>
      <c r="N6" s="20">
        <v>267.9864799613714</v>
      </c>
      <c r="P6" s="22">
        <v>46175</v>
      </c>
      <c r="Q6" s="22">
        <v>46176</v>
      </c>
    </row>
    <row r="7" spans="1:17" s="21" customFormat="1" x14ac:dyDescent="0.3">
      <c r="A7" s="19" t="s">
        <v>41</v>
      </c>
      <c r="B7" s="19" t="s">
        <v>42</v>
      </c>
      <c r="C7" s="19" t="s">
        <v>43</v>
      </c>
      <c r="D7" s="19" t="s">
        <v>43</v>
      </c>
      <c r="E7" s="19" t="str">
        <f t="shared" si="0"/>
        <v>0126-0025KG</v>
      </c>
      <c r="F7" s="19" t="s">
        <v>24</v>
      </c>
      <c r="G7" s="19" t="s">
        <v>55</v>
      </c>
      <c r="H7" s="19" t="s">
        <v>16</v>
      </c>
      <c r="I7" s="20">
        <v>242.5</v>
      </c>
      <c r="J7" s="20">
        <v>250</v>
      </c>
      <c r="K7" s="20">
        <v>263.15789473684214</v>
      </c>
      <c r="L7" s="20">
        <v>259.94688556253027</v>
      </c>
      <c r="M7" s="20">
        <v>254.58715596330282</v>
      </c>
      <c r="N7" s="20">
        <v>267.9864799613714</v>
      </c>
      <c r="P7" s="22">
        <v>46175</v>
      </c>
      <c r="Q7" s="22">
        <v>46176</v>
      </c>
    </row>
    <row r="8" spans="1:17" s="21" customFormat="1" x14ac:dyDescent="0.3">
      <c r="A8" s="19" t="s">
        <v>44</v>
      </c>
      <c r="B8" s="19" t="s">
        <v>45</v>
      </c>
      <c r="C8" s="19" t="s">
        <v>46</v>
      </c>
      <c r="D8" s="19" t="s">
        <v>47</v>
      </c>
      <c r="E8" s="19" t="str">
        <f t="shared" si="0"/>
        <v>0152-0016KG</v>
      </c>
      <c r="F8" s="19" t="s">
        <v>25</v>
      </c>
      <c r="G8" s="19" t="s">
        <v>56</v>
      </c>
      <c r="H8" s="19" t="s">
        <v>16</v>
      </c>
      <c r="I8" s="20">
        <v>242.5</v>
      </c>
      <c r="J8" s="20">
        <v>250</v>
      </c>
      <c r="K8" s="20">
        <v>263.15789473684214</v>
      </c>
      <c r="L8" s="20">
        <v>259.94688556253027</v>
      </c>
      <c r="M8" s="20">
        <v>254.58715596330282</v>
      </c>
      <c r="N8" s="20">
        <v>267.9864799613714</v>
      </c>
      <c r="P8" s="22">
        <v>46175</v>
      </c>
      <c r="Q8" s="22">
        <v>46176</v>
      </c>
    </row>
    <row r="9" spans="1:17" s="21" customFormat="1" x14ac:dyDescent="0.3">
      <c r="A9" s="19" t="s">
        <v>41</v>
      </c>
      <c r="B9" s="19" t="s">
        <v>42</v>
      </c>
      <c r="C9" s="19" t="s">
        <v>43</v>
      </c>
      <c r="D9" s="19" t="s">
        <v>43</v>
      </c>
      <c r="E9" s="19" t="str">
        <f t="shared" si="0"/>
        <v>0126-0017KG</v>
      </c>
      <c r="F9" s="19" t="s">
        <v>26</v>
      </c>
      <c r="G9" s="19" t="s">
        <v>57</v>
      </c>
      <c r="H9" s="19" t="s">
        <v>16</v>
      </c>
      <c r="I9" s="20">
        <v>485</v>
      </c>
      <c r="J9" s="20">
        <v>500</v>
      </c>
      <c r="K9" s="20">
        <v>526.31578947368428</v>
      </c>
      <c r="L9" s="20">
        <v>519.89377112506054</v>
      </c>
      <c r="M9" s="20">
        <v>509.17431192660564</v>
      </c>
      <c r="N9" s="20">
        <v>535.9729599227428</v>
      </c>
      <c r="P9" s="22">
        <v>46175</v>
      </c>
      <c r="Q9" s="22">
        <v>46176</v>
      </c>
    </row>
    <row r="10" spans="1:17" s="21" customFormat="1" x14ac:dyDescent="0.3">
      <c r="A10" s="19" t="s">
        <v>41</v>
      </c>
      <c r="B10" s="19" t="s">
        <v>42</v>
      </c>
      <c r="C10" s="19" t="s">
        <v>43</v>
      </c>
      <c r="D10" s="19" t="s">
        <v>43</v>
      </c>
      <c r="E10" s="19" t="str">
        <f t="shared" si="0"/>
        <v>0126-0032KG</v>
      </c>
      <c r="F10" s="19" t="s">
        <v>27</v>
      </c>
      <c r="G10" s="19" t="s">
        <v>58</v>
      </c>
      <c r="H10" s="19" t="s">
        <v>16</v>
      </c>
      <c r="I10" s="20">
        <v>485</v>
      </c>
      <c r="J10" s="20">
        <v>500</v>
      </c>
      <c r="K10" s="20">
        <v>526.31578947368428</v>
      </c>
      <c r="L10" s="20">
        <v>519.89377112506054</v>
      </c>
      <c r="M10" s="20">
        <v>509.17431192660564</v>
      </c>
      <c r="N10" s="20">
        <v>535.9729599227428</v>
      </c>
      <c r="P10" s="22">
        <v>46175</v>
      </c>
      <c r="Q10" s="22">
        <v>46176</v>
      </c>
    </row>
    <row r="11" spans="1:17" s="21" customFormat="1" x14ac:dyDescent="0.3">
      <c r="A11" s="19" t="s">
        <v>41</v>
      </c>
      <c r="B11" s="19" t="s">
        <v>42</v>
      </c>
      <c r="C11" s="19" t="s">
        <v>43</v>
      </c>
      <c r="D11" s="19" t="s">
        <v>43</v>
      </c>
      <c r="E11" s="19" t="str">
        <f t="shared" si="0"/>
        <v>0126-0008KG</v>
      </c>
      <c r="F11" s="19" t="s">
        <v>28</v>
      </c>
      <c r="G11" s="19" t="s">
        <v>59</v>
      </c>
      <c r="H11" s="19" t="s">
        <v>16</v>
      </c>
      <c r="I11" s="20">
        <v>552.9</v>
      </c>
      <c r="J11" s="20">
        <v>570</v>
      </c>
      <c r="K11" s="20">
        <v>600</v>
      </c>
      <c r="L11" s="20">
        <v>592.67889908256893</v>
      </c>
      <c r="M11" s="20">
        <v>580.45871559633031</v>
      </c>
      <c r="N11" s="20">
        <v>611.0091743119267</v>
      </c>
      <c r="P11" s="22">
        <v>46175</v>
      </c>
      <c r="Q11" s="22">
        <v>46176</v>
      </c>
    </row>
    <row r="12" spans="1:17" s="21" customFormat="1" x14ac:dyDescent="0.3">
      <c r="A12" s="19" t="s">
        <v>41</v>
      </c>
      <c r="B12" s="19" t="s">
        <v>42</v>
      </c>
      <c r="C12" s="19" t="s">
        <v>43</v>
      </c>
      <c r="D12" s="19" t="s">
        <v>43</v>
      </c>
      <c r="E12" s="19" t="str">
        <f t="shared" si="0"/>
        <v>0126-0023KG</v>
      </c>
      <c r="F12" s="19" t="s">
        <v>29</v>
      </c>
      <c r="G12" s="19" t="s">
        <v>60</v>
      </c>
      <c r="H12" s="19" t="s">
        <v>16</v>
      </c>
      <c r="I12" s="20">
        <v>552.9</v>
      </c>
      <c r="J12" s="20">
        <v>570</v>
      </c>
      <c r="K12" s="20">
        <v>600</v>
      </c>
      <c r="L12" s="20">
        <v>592.67889908256893</v>
      </c>
      <c r="M12" s="20">
        <v>580.45871559633031</v>
      </c>
      <c r="N12" s="20">
        <v>611.0091743119267</v>
      </c>
      <c r="P12" s="22">
        <v>46175</v>
      </c>
      <c r="Q12" s="22">
        <v>46176</v>
      </c>
    </row>
    <row r="13" spans="1:17" s="21" customFormat="1" x14ac:dyDescent="0.3">
      <c r="A13" s="19" t="s">
        <v>41</v>
      </c>
      <c r="B13" s="19" t="s">
        <v>42</v>
      </c>
      <c r="C13" s="19" t="s">
        <v>43</v>
      </c>
      <c r="D13" s="19" t="s">
        <v>43</v>
      </c>
      <c r="E13" s="19" t="str">
        <f t="shared" si="0"/>
        <v>0126-0030KG</v>
      </c>
      <c r="F13" s="19" t="s">
        <v>30</v>
      </c>
      <c r="G13" s="19" t="s">
        <v>61</v>
      </c>
      <c r="H13" s="19" t="s">
        <v>16</v>
      </c>
      <c r="I13" s="20">
        <v>552.9</v>
      </c>
      <c r="J13" s="20">
        <v>570</v>
      </c>
      <c r="K13" s="20">
        <v>600</v>
      </c>
      <c r="L13" s="20">
        <v>592.67889908256893</v>
      </c>
      <c r="M13" s="20">
        <v>580.45871559633031</v>
      </c>
      <c r="N13" s="20">
        <v>611.0091743119267</v>
      </c>
      <c r="P13" s="22">
        <v>46175</v>
      </c>
      <c r="Q13" s="22">
        <v>46176</v>
      </c>
    </row>
    <row r="14" spans="1:17" s="21" customFormat="1" x14ac:dyDescent="0.3">
      <c r="A14" s="19" t="s">
        <v>41</v>
      </c>
      <c r="B14" s="19" t="s">
        <v>42</v>
      </c>
      <c r="C14" s="19" t="s">
        <v>43</v>
      </c>
      <c r="D14" s="19" t="s">
        <v>43</v>
      </c>
      <c r="E14" s="19" t="str">
        <f t="shared" si="0"/>
        <v>0126-0037KG</v>
      </c>
      <c r="F14" s="19" t="s">
        <v>31</v>
      </c>
      <c r="G14" s="19" t="s">
        <v>62</v>
      </c>
      <c r="H14" s="19" t="s">
        <v>16</v>
      </c>
      <c r="I14" s="20">
        <v>552.9</v>
      </c>
      <c r="J14" s="20">
        <v>570</v>
      </c>
      <c r="K14" s="20">
        <v>600</v>
      </c>
      <c r="L14" s="20">
        <v>592.67889908256893</v>
      </c>
      <c r="M14" s="20">
        <v>580.45871559633031</v>
      </c>
      <c r="N14" s="20">
        <v>611.0091743119267</v>
      </c>
      <c r="P14" s="22">
        <v>46175</v>
      </c>
      <c r="Q14" s="22">
        <v>46176</v>
      </c>
    </row>
    <row r="15" spans="1:17" s="21" customFormat="1" x14ac:dyDescent="0.3">
      <c r="A15" s="19" t="s">
        <v>41</v>
      </c>
      <c r="B15" s="19" t="s">
        <v>42</v>
      </c>
      <c r="C15" s="19" t="s">
        <v>43</v>
      </c>
      <c r="D15" s="19" t="s">
        <v>43</v>
      </c>
      <c r="E15" s="19" t="str">
        <f t="shared" si="0"/>
        <v>0126-0040KG</v>
      </c>
      <c r="F15" s="19" t="s">
        <v>32</v>
      </c>
      <c r="G15" s="19" t="s">
        <v>63</v>
      </c>
      <c r="H15" s="19" t="s">
        <v>16</v>
      </c>
      <c r="I15" s="20">
        <v>552.9</v>
      </c>
      <c r="J15" s="20">
        <v>570</v>
      </c>
      <c r="K15" s="20">
        <v>600</v>
      </c>
      <c r="L15" s="20">
        <v>592.67889908256893</v>
      </c>
      <c r="M15" s="20">
        <v>580.45871559633031</v>
      </c>
      <c r="N15" s="20">
        <v>611.0091743119267</v>
      </c>
      <c r="P15" s="22">
        <v>46175</v>
      </c>
      <c r="Q15" s="22">
        <v>46176</v>
      </c>
    </row>
    <row r="16" spans="1:17" s="21" customFormat="1" x14ac:dyDescent="0.3">
      <c r="A16" s="19" t="s">
        <v>41</v>
      </c>
      <c r="B16" s="19" t="s">
        <v>42</v>
      </c>
      <c r="C16" s="19" t="s">
        <v>43</v>
      </c>
      <c r="D16" s="19" t="s">
        <v>43</v>
      </c>
      <c r="E16" s="19" t="str">
        <f t="shared" si="0"/>
        <v>0126-0021KG</v>
      </c>
      <c r="F16" s="19" t="s">
        <v>33</v>
      </c>
      <c r="G16" s="19" t="s">
        <v>64</v>
      </c>
      <c r="H16" s="19" t="s">
        <v>16</v>
      </c>
      <c r="I16" s="20">
        <v>630.5</v>
      </c>
      <c r="J16" s="20">
        <v>650</v>
      </c>
      <c r="K16" s="20">
        <v>684.21052631578948</v>
      </c>
      <c r="L16" s="20">
        <v>675.86190246257854</v>
      </c>
      <c r="M16" s="20">
        <v>661.9266055045872</v>
      </c>
      <c r="N16" s="20">
        <v>696.76484789956555</v>
      </c>
      <c r="P16" s="22">
        <v>46175</v>
      </c>
      <c r="Q16" s="22">
        <v>46176</v>
      </c>
    </row>
    <row r="17" spans="1:17" s="21" customFormat="1" x14ac:dyDescent="0.3">
      <c r="A17" s="19" t="s">
        <v>41</v>
      </c>
      <c r="B17" s="19" t="s">
        <v>42</v>
      </c>
      <c r="C17" s="19" t="s">
        <v>43</v>
      </c>
      <c r="D17" s="19" t="s">
        <v>43</v>
      </c>
      <c r="E17" s="19" t="str">
        <f t="shared" si="0"/>
        <v>0126-0004KG</v>
      </c>
      <c r="F17" s="19" t="s">
        <v>34</v>
      </c>
      <c r="G17" s="19" t="s">
        <v>65</v>
      </c>
      <c r="H17" s="19" t="s">
        <v>16</v>
      </c>
      <c r="I17" s="20">
        <v>630.5</v>
      </c>
      <c r="J17" s="20">
        <v>650</v>
      </c>
      <c r="K17" s="20">
        <v>684.21052631578948</v>
      </c>
      <c r="L17" s="20">
        <v>675.86190246257854</v>
      </c>
      <c r="M17" s="20">
        <v>661.9266055045872</v>
      </c>
      <c r="N17" s="20">
        <v>696.76484789956555</v>
      </c>
      <c r="P17" s="22">
        <v>46175</v>
      </c>
      <c r="Q17" s="22">
        <v>46176</v>
      </c>
    </row>
    <row r="18" spans="1:17" s="21" customFormat="1" x14ac:dyDescent="0.3">
      <c r="A18" s="19" t="s">
        <v>41</v>
      </c>
      <c r="B18" s="19" t="s">
        <v>42</v>
      </c>
      <c r="C18" s="19" t="s">
        <v>43</v>
      </c>
      <c r="D18" s="19" t="s">
        <v>43</v>
      </c>
      <c r="E18" s="19" t="str">
        <f t="shared" si="0"/>
        <v>0126-0009KG</v>
      </c>
      <c r="F18" s="19" t="s">
        <v>35</v>
      </c>
      <c r="G18" s="19" t="s">
        <v>66</v>
      </c>
      <c r="H18" s="19" t="s">
        <v>16</v>
      </c>
      <c r="I18" s="20">
        <v>630.5</v>
      </c>
      <c r="J18" s="20">
        <v>650</v>
      </c>
      <c r="K18" s="20">
        <v>684.21052631578948</v>
      </c>
      <c r="L18" s="20">
        <v>675.86190246257854</v>
      </c>
      <c r="M18" s="20">
        <v>661.9266055045872</v>
      </c>
      <c r="N18" s="20">
        <v>696.76484789956555</v>
      </c>
      <c r="P18" s="22">
        <v>46175</v>
      </c>
      <c r="Q18" s="22">
        <v>46176</v>
      </c>
    </row>
    <row r="19" spans="1:17" s="21" customFormat="1" x14ac:dyDescent="0.3">
      <c r="A19" s="19" t="s">
        <v>41</v>
      </c>
      <c r="B19" s="19" t="s">
        <v>42</v>
      </c>
      <c r="C19" s="19" t="s">
        <v>43</v>
      </c>
      <c r="D19" s="19" t="s">
        <v>43</v>
      </c>
      <c r="E19" s="19" t="str">
        <f t="shared" si="0"/>
        <v>0126-0035KG</v>
      </c>
      <c r="F19" s="19" t="s">
        <v>36</v>
      </c>
      <c r="G19" s="19" t="s">
        <v>67</v>
      </c>
      <c r="H19" s="19" t="s">
        <v>16</v>
      </c>
      <c r="I19" s="20">
        <v>630.5</v>
      </c>
      <c r="J19" s="20">
        <v>650</v>
      </c>
      <c r="K19" s="20">
        <v>684.21052631578948</v>
      </c>
      <c r="L19" s="20">
        <v>675.86190246257854</v>
      </c>
      <c r="M19" s="20">
        <v>661.9266055045872</v>
      </c>
      <c r="N19" s="20">
        <v>696.76484789956555</v>
      </c>
      <c r="P19" s="22">
        <v>46175</v>
      </c>
      <c r="Q19" s="22">
        <v>46176</v>
      </c>
    </row>
    <row r="20" spans="1:17" s="21" customFormat="1" x14ac:dyDescent="0.3">
      <c r="A20" s="19" t="s">
        <v>41</v>
      </c>
      <c r="B20" s="19" t="s">
        <v>42</v>
      </c>
      <c r="C20" s="19" t="s">
        <v>48</v>
      </c>
      <c r="D20" s="19" t="s">
        <v>48</v>
      </c>
      <c r="E20" s="19" t="str">
        <f t="shared" si="0"/>
        <v>0176-0019KG</v>
      </c>
      <c r="F20" s="19" t="s">
        <v>37</v>
      </c>
      <c r="G20" s="19" t="s">
        <v>68</v>
      </c>
      <c r="H20" s="19" t="s">
        <v>16</v>
      </c>
      <c r="I20" s="20">
        <v>1067</v>
      </c>
      <c r="J20" s="20">
        <v>1100</v>
      </c>
      <c r="K20" s="20">
        <v>1157.8947368421054</v>
      </c>
      <c r="L20" s="20">
        <v>1143.766296475133</v>
      </c>
      <c r="M20" s="20">
        <v>1120.1834862385322</v>
      </c>
      <c r="N20" s="20">
        <v>1179.140511830034</v>
      </c>
      <c r="P20" s="22">
        <v>46175</v>
      </c>
      <c r="Q20" s="22">
        <v>46176</v>
      </c>
    </row>
    <row r="21" spans="1:17" s="21" customFormat="1" x14ac:dyDescent="0.3">
      <c r="A21" s="19" t="s">
        <v>41</v>
      </c>
      <c r="B21" s="19" t="s">
        <v>42</v>
      </c>
      <c r="C21" s="19" t="s">
        <v>48</v>
      </c>
      <c r="D21" s="19" t="s">
        <v>48</v>
      </c>
      <c r="E21" s="19" t="str">
        <f t="shared" si="0"/>
        <v>0176-0009KG</v>
      </c>
      <c r="F21" s="19" t="s">
        <v>38</v>
      </c>
      <c r="G21" s="19" t="s">
        <v>69</v>
      </c>
      <c r="H21" s="19" t="s">
        <v>16</v>
      </c>
      <c r="I21" s="20">
        <v>582</v>
      </c>
      <c r="J21" s="20">
        <v>600</v>
      </c>
      <c r="K21" s="20">
        <v>631.57894736842104</v>
      </c>
      <c r="L21" s="20">
        <v>623.87252535007246</v>
      </c>
      <c r="M21" s="20">
        <v>611.00917431192659</v>
      </c>
      <c r="N21" s="20">
        <v>643.16755190729123</v>
      </c>
      <c r="P21" s="22">
        <v>46175</v>
      </c>
      <c r="Q21" s="22">
        <v>46176</v>
      </c>
    </row>
    <row r="22" spans="1:17" s="21" customFormat="1" x14ac:dyDescent="0.3">
      <c r="A22" s="19" t="s">
        <v>41</v>
      </c>
      <c r="B22" s="19" t="s">
        <v>42</v>
      </c>
      <c r="C22" s="19" t="s">
        <v>48</v>
      </c>
      <c r="D22" s="19" t="s">
        <v>48</v>
      </c>
      <c r="E22" s="19" t="str">
        <f t="shared" si="0"/>
        <v>0176-0006KG</v>
      </c>
      <c r="F22" s="19" t="s">
        <v>39</v>
      </c>
      <c r="G22" s="19" t="s">
        <v>70</v>
      </c>
      <c r="H22" s="19" t="s">
        <v>16</v>
      </c>
      <c r="I22" s="20">
        <v>679</v>
      </c>
      <c r="J22" s="20">
        <v>700</v>
      </c>
      <c r="K22" s="20">
        <v>736.84210526315792</v>
      </c>
      <c r="L22" s="20">
        <v>727.8512795750845</v>
      </c>
      <c r="M22" s="20">
        <v>712.8440366972477</v>
      </c>
      <c r="N22" s="20">
        <v>750.36214389183976</v>
      </c>
      <c r="P22" s="22">
        <v>46175</v>
      </c>
      <c r="Q22" s="22">
        <v>46176</v>
      </c>
    </row>
    <row r="23" spans="1:17" s="21" customFormat="1" x14ac:dyDescent="0.3">
      <c r="A23" s="19" t="s">
        <v>41</v>
      </c>
      <c r="B23" s="19" t="s">
        <v>42</v>
      </c>
      <c r="C23" s="19" t="s">
        <v>48</v>
      </c>
      <c r="D23" s="19" t="s">
        <v>48</v>
      </c>
      <c r="E23" s="19" t="str">
        <f t="shared" si="0"/>
        <v>0176-0018KG</v>
      </c>
      <c r="F23" s="19" t="s">
        <v>40</v>
      </c>
      <c r="G23" s="19" t="s">
        <v>71</v>
      </c>
      <c r="H23" s="19" t="s">
        <v>16</v>
      </c>
      <c r="I23" s="20">
        <v>727.5</v>
      </c>
      <c r="J23" s="20">
        <v>750</v>
      </c>
      <c r="K23" s="20">
        <v>789.47368421052636</v>
      </c>
      <c r="L23" s="20">
        <v>779.84065668759081</v>
      </c>
      <c r="M23" s="20">
        <v>763.76146788990843</v>
      </c>
      <c r="N23" s="20">
        <v>803.9594398841142</v>
      </c>
      <c r="P23" s="22">
        <v>46175</v>
      </c>
      <c r="Q23" s="22">
        <v>46176</v>
      </c>
    </row>
    <row r="24" spans="1:17" s="21" customFormat="1" x14ac:dyDescent="0.3">
      <c r="A24" s="19" t="s">
        <v>41</v>
      </c>
      <c r="B24" s="19" t="s">
        <v>42</v>
      </c>
      <c r="C24" s="19" t="s">
        <v>43</v>
      </c>
      <c r="D24" s="19" t="s">
        <v>43</v>
      </c>
      <c r="E24" s="19" t="str">
        <f t="shared" si="0"/>
        <v xml:space="preserve">0126-0028DRM  </v>
      </c>
      <c r="F24" s="19" t="s">
        <v>19</v>
      </c>
      <c r="G24" s="19" t="s">
        <v>49</v>
      </c>
      <c r="H24" s="19" t="str">
        <f>+INDEX([1]Khi!$S:$S,MATCH(F24,[1]Khi!$P:$P,0))</f>
        <v xml:space="preserve">DRM  </v>
      </c>
      <c r="I24" s="20">
        <v>39285</v>
      </c>
      <c r="J24" s="20">
        <v>40500</v>
      </c>
      <c r="K24" s="20">
        <v>42631.578947368427</v>
      </c>
      <c r="L24" s="20">
        <v>42111.395461129898</v>
      </c>
      <c r="M24" s="20">
        <v>41243.119266055051</v>
      </c>
      <c r="N24" s="20">
        <v>43413.809753742164</v>
      </c>
      <c r="P24" s="22">
        <v>46175</v>
      </c>
      <c r="Q24" s="22">
        <v>46176</v>
      </c>
    </row>
    <row r="25" spans="1:17" s="21" customFormat="1" x14ac:dyDescent="0.3">
      <c r="A25" s="19" t="s">
        <v>41</v>
      </c>
      <c r="B25" s="19" t="s">
        <v>42</v>
      </c>
      <c r="C25" s="19" t="s">
        <v>43</v>
      </c>
      <c r="D25" s="19" t="s">
        <v>43</v>
      </c>
      <c r="E25" s="19" t="str">
        <f t="shared" si="0"/>
        <v xml:space="preserve">0126-0041DRM  </v>
      </c>
      <c r="F25" s="19" t="s">
        <v>21</v>
      </c>
      <c r="G25" s="19" t="s">
        <v>52</v>
      </c>
      <c r="H25" s="19" t="str">
        <f>+INDEX([1]Khi!$S:$S,MATCH(F25,[1]Khi!$P:$P,0))</f>
        <v xml:space="preserve">DRM  </v>
      </c>
      <c r="I25" s="20">
        <v>45832.5</v>
      </c>
      <c r="J25" s="20">
        <v>47250</v>
      </c>
      <c r="K25" s="20">
        <v>49736.84210526316</v>
      </c>
      <c r="L25" s="20">
        <v>49129.961371318212</v>
      </c>
      <c r="M25" s="20">
        <v>48116.972477064228</v>
      </c>
      <c r="N25" s="20">
        <v>50649.444712699187</v>
      </c>
      <c r="P25" s="22">
        <v>46175</v>
      </c>
      <c r="Q25" s="22">
        <v>46176</v>
      </c>
    </row>
    <row r="26" spans="1:17" s="21" customFormat="1" x14ac:dyDescent="0.3">
      <c r="A26" s="19" t="s">
        <v>44</v>
      </c>
      <c r="B26" s="19" t="s">
        <v>45</v>
      </c>
      <c r="C26" s="19" t="s">
        <v>46</v>
      </c>
      <c r="D26" s="19" t="s">
        <v>47</v>
      </c>
      <c r="E26" s="19" t="str">
        <f t="shared" si="0"/>
        <v xml:space="preserve">0152-0042CAN  </v>
      </c>
      <c r="F26" s="19" t="s">
        <v>22</v>
      </c>
      <c r="G26" s="19" t="s">
        <v>53</v>
      </c>
      <c r="H26" s="19" t="str">
        <f>+INDEX([1]Khi!$S:$S,MATCH(F26,[1]Khi!$P:$P,0))</f>
        <v xml:space="preserve">CAN  </v>
      </c>
      <c r="I26" s="20">
        <v>5456.25</v>
      </c>
      <c r="J26" s="20">
        <v>5625</v>
      </c>
      <c r="K26" s="20">
        <v>5921.0526315789484</v>
      </c>
      <c r="L26" s="20">
        <v>5848.80492515693</v>
      </c>
      <c r="M26" s="20">
        <v>5728.2110091743125</v>
      </c>
      <c r="N26" s="20">
        <v>6029.6957991308564</v>
      </c>
      <c r="P26" s="22">
        <v>46175</v>
      </c>
      <c r="Q26" s="22">
        <v>46176</v>
      </c>
    </row>
    <row r="27" spans="1:17" s="21" customFormat="1" x14ac:dyDescent="0.3">
      <c r="A27" s="19" t="s">
        <v>41</v>
      </c>
      <c r="B27" s="19" t="s">
        <v>42</v>
      </c>
      <c r="C27" s="19" t="s">
        <v>43</v>
      </c>
      <c r="D27" s="19" t="s">
        <v>43</v>
      </c>
      <c r="E27" s="19" t="str">
        <f t="shared" si="0"/>
        <v xml:space="preserve">0126-0007DRM  </v>
      </c>
      <c r="F27" s="19" t="s">
        <v>23</v>
      </c>
      <c r="G27" s="19" t="s">
        <v>54</v>
      </c>
      <c r="H27" s="19" t="str">
        <f>+INDEX([1]Khi!$S:$S,MATCH(F27,[1]Khi!$P:$P,0))</f>
        <v xml:space="preserve">DRM  </v>
      </c>
      <c r="I27" s="20">
        <v>65475</v>
      </c>
      <c r="J27" s="20">
        <v>67500</v>
      </c>
      <c r="K27" s="20">
        <v>71052.631578947374</v>
      </c>
      <c r="L27" s="20">
        <v>70185.659101883168</v>
      </c>
      <c r="M27" s="20">
        <v>68738.532110091764</v>
      </c>
      <c r="N27" s="20">
        <v>72356.34958957028</v>
      </c>
      <c r="P27" s="22">
        <v>46175</v>
      </c>
      <c r="Q27" s="22">
        <v>46176</v>
      </c>
    </row>
    <row r="28" spans="1:17" s="21" customFormat="1" x14ac:dyDescent="0.3">
      <c r="A28" s="19" t="s">
        <v>44</v>
      </c>
      <c r="B28" s="19" t="s">
        <v>45</v>
      </c>
      <c r="C28" s="19" t="s">
        <v>46</v>
      </c>
      <c r="D28" s="19" t="s">
        <v>47</v>
      </c>
      <c r="E28" s="19" t="str">
        <f t="shared" si="0"/>
        <v xml:space="preserve">0152-0016CAN  </v>
      </c>
      <c r="F28" s="19" t="s">
        <v>25</v>
      </c>
      <c r="G28" s="19" t="s">
        <v>56</v>
      </c>
      <c r="H28" s="19" t="str">
        <f>+INDEX([1]Khi!$S:$S,MATCH(F28,[1]Khi!$P:$P,0))</f>
        <v xml:space="preserve">CAN  </v>
      </c>
      <c r="I28" s="20">
        <v>6062.5</v>
      </c>
      <c r="J28" s="20">
        <v>6250</v>
      </c>
      <c r="K28" s="20">
        <v>6578.9473684210534</v>
      </c>
      <c r="L28" s="20">
        <v>6498.6721390632565</v>
      </c>
      <c r="M28" s="20">
        <v>6364.6788990825708</v>
      </c>
      <c r="N28" s="20">
        <v>6699.6619990342851</v>
      </c>
      <c r="P28" s="22">
        <v>46175</v>
      </c>
      <c r="Q28" s="22">
        <v>46176</v>
      </c>
    </row>
    <row r="29" spans="1:17" s="21" customFormat="1" x14ac:dyDescent="0.3">
      <c r="A29" s="19" t="s">
        <v>41</v>
      </c>
      <c r="B29" s="19" t="s">
        <v>42</v>
      </c>
      <c r="C29" s="19" t="s">
        <v>43</v>
      </c>
      <c r="D29" s="19" t="s">
        <v>43</v>
      </c>
      <c r="E29" s="19" t="str">
        <f t="shared" si="0"/>
        <v xml:space="preserve">0126-0017DRM  </v>
      </c>
      <c r="F29" s="19" t="s">
        <v>26</v>
      </c>
      <c r="G29" s="19" t="s">
        <v>57</v>
      </c>
      <c r="H29" s="19" t="str">
        <f>+INDEX([1]Khi!$S:$S,MATCH(F29,[1]Khi!$P:$P,0))</f>
        <v xml:space="preserve">DRM  </v>
      </c>
      <c r="I29" s="20">
        <v>87300</v>
      </c>
      <c r="J29" s="20">
        <v>90000</v>
      </c>
      <c r="K29" s="20">
        <v>94736.842105263175</v>
      </c>
      <c r="L29" s="20">
        <v>93580.878802510895</v>
      </c>
      <c r="M29" s="20">
        <v>91651.376146789014</v>
      </c>
      <c r="N29" s="20">
        <v>96475.132786093702</v>
      </c>
      <c r="P29" s="22">
        <v>46175</v>
      </c>
      <c r="Q29" s="22">
        <v>46176</v>
      </c>
    </row>
    <row r="30" spans="1:17" s="21" customFormat="1" x14ac:dyDescent="0.3">
      <c r="A30" s="19" t="s">
        <v>41</v>
      </c>
      <c r="B30" s="19" t="s">
        <v>42</v>
      </c>
      <c r="C30" s="19" t="s">
        <v>43</v>
      </c>
      <c r="D30" s="19" t="s">
        <v>43</v>
      </c>
      <c r="E30" s="19" t="str">
        <f t="shared" si="0"/>
        <v xml:space="preserve">0126-0032DRM  </v>
      </c>
      <c r="F30" s="19" t="s">
        <v>27</v>
      </c>
      <c r="G30" s="19" t="s">
        <v>58</v>
      </c>
      <c r="H30" s="19" t="str">
        <f>+INDEX([1]Khi!$S:$S,MATCH(F30,[1]Khi!$P:$P,0))</f>
        <v xml:space="preserve">DRM  </v>
      </c>
      <c r="I30" s="20">
        <v>87300</v>
      </c>
      <c r="J30" s="20">
        <v>90000</v>
      </c>
      <c r="K30" s="20">
        <v>94736.842105263175</v>
      </c>
      <c r="L30" s="20">
        <v>93580.878802510895</v>
      </c>
      <c r="M30" s="20">
        <v>91651.376146789014</v>
      </c>
      <c r="N30" s="20">
        <v>96475.132786093702</v>
      </c>
      <c r="P30" s="22">
        <v>46175</v>
      </c>
      <c r="Q30" s="22">
        <v>46176</v>
      </c>
    </row>
    <row r="31" spans="1:17" s="21" customFormat="1" x14ac:dyDescent="0.3">
      <c r="A31" s="19" t="s">
        <v>41</v>
      </c>
      <c r="B31" s="19" t="s">
        <v>42</v>
      </c>
      <c r="C31" s="19" t="s">
        <v>43</v>
      </c>
      <c r="D31" s="19" t="s">
        <v>43</v>
      </c>
      <c r="E31" s="19" t="str">
        <f t="shared" si="0"/>
        <v xml:space="preserve">0126-0008DRM  </v>
      </c>
      <c r="F31" s="19" t="s">
        <v>28</v>
      </c>
      <c r="G31" s="19" t="s">
        <v>59</v>
      </c>
      <c r="H31" s="19" t="str">
        <f>+INDEX([1]Khi!$S:$S,MATCH(F31,[1]Khi!$P:$P,0))</f>
        <v xml:space="preserve">DRM  </v>
      </c>
      <c r="I31" s="20">
        <v>105051</v>
      </c>
      <c r="J31" s="20">
        <v>108300</v>
      </c>
      <c r="K31" s="20">
        <v>114000</v>
      </c>
      <c r="L31" s="20">
        <v>112608.9908256881</v>
      </c>
      <c r="M31" s="20">
        <v>110287.15596330276</v>
      </c>
      <c r="N31" s="20">
        <v>116091.74311926607</v>
      </c>
      <c r="P31" s="22">
        <v>46175</v>
      </c>
      <c r="Q31" s="22">
        <v>46176</v>
      </c>
    </row>
    <row r="32" spans="1:17" s="21" customFormat="1" x14ac:dyDescent="0.3">
      <c r="A32" s="19" t="s">
        <v>41</v>
      </c>
      <c r="B32" s="19" t="s">
        <v>42</v>
      </c>
      <c r="C32" s="19" t="s">
        <v>43</v>
      </c>
      <c r="D32" s="19" t="s">
        <v>43</v>
      </c>
      <c r="E32" s="19" t="str">
        <f t="shared" si="0"/>
        <v xml:space="preserve">0126-0030DRM  </v>
      </c>
      <c r="F32" s="19" t="s">
        <v>30</v>
      </c>
      <c r="G32" s="19" t="s">
        <v>61</v>
      </c>
      <c r="H32" s="19" t="str">
        <f>+INDEX([1]Khi!$S:$S,MATCH(F32,[1]Khi!$P:$P,0))</f>
        <v xml:space="preserve">DRM  </v>
      </c>
      <c r="I32" s="20">
        <v>105051</v>
      </c>
      <c r="J32" s="20">
        <v>108300</v>
      </c>
      <c r="K32" s="20">
        <v>114000</v>
      </c>
      <c r="L32" s="20">
        <v>112608.9908256881</v>
      </c>
      <c r="M32" s="20">
        <v>110287.15596330276</v>
      </c>
      <c r="N32" s="20">
        <v>116091.74311926607</v>
      </c>
      <c r="P32" s="22">
        <v>46175</v>
      </c>
      <c r="Q32" s="22">
        <v>46176</v>
      </c>
    </row>
    <row r="33" spans="1:17" s="21" customFormat="1" x14ac:dyDescent="0.3">
      <c r="A33" s="19" t="s">
        <v>41</v>
      </c>
      <c r="B33" s="19" t="s">
        <v>42</v>
      </c>
      <c r="C33" s="19" t="s">
        <v>43</v>
      </c>
      <c r="D33" s="19" t="s">
        <v>43</v>
      </c>
      <c r="E33" s="19" t="str">
        <f t="shared" si="0"/>
        <v xml:space="preserve">0126-0040DRM  </v>
      </c>
      <c r="F33" s="19" t="s">
        <v>32</v>
      </c>
      <c r="G33" s="19" t="s">
        <v>63</v>
      </c>
      <c r="H33" s="19" t="str">
        <f>+INDEX([1]Khi!$S:$S,MATCH(F33,[1]Khi!$P:$P,0))</f>
        <v xml:space="preserve">DRM  </v>
      </c>
      <c r="I33" s="20">
        <v>110580</v>
      </c>
      <c r="J33" s="20">
        <v>114000</v>
      </c>
      <c r="K33" s="20">
        <v>120000</v>
      </c>
      <c r="L33" s="20">
        <v>118535.77981651379</v>
      </c>
      <c r="M33" s="20">
        <v>116091.74311926606</v>
      </c>
      <c r="N33" s="20">
        <v>122201.83486238534</v>
      </c>
      <c r="P33" s="22">
        <v>46175</v>
      </c>
      <c r="Q33" s="22">
        <v>46176</v>
      </c>
    </row>
    <row r="34" spans="1:17" s="21" customFormat="1" x14ac:dyDescent="0.3">
      <c r="A34" s="19" t="s">
        <v>41</v>
      </c>
      <c r="B34" s="19" t="s">
        <v>42</v>
      </c>
      <c r="C34" s="19" t="s">
        <v>43</v>
      </c>
      <c r="D34" s="19" t="s">
        <v>43</v>
      </c>
      <c r="E34" s="19" t="str">
        <f t="shared" si="0"/>
        <v xml:space="preserve">0126-0021DRM  </v>
      </c>
      <c r="F34" s="19" t="s">
        <v>33</v>
      </c>
      <c r="G34" s="19" t="s">
        <v>64</v>
      </c>
      <c r="H34" s="19" t="str">
        <f>+INDEX([1]Khi!$S:$S,MATCH(F34,[1]Khi!$P:$P,0))</f>
        <v xml:space="preserve">DRM  </v>
      </c>
      <c r="I34" s="20">
        <v>119795</v>
      </c>
      <c r="J34" s="20">
        <v>123500</v>
      </c>
      <c r="K34" s="20">
        <v>130000</v>
      </c>
      <c r="L34" s="20">
        <v>128413.76146788993</v>
      </c>
      <c r="M34" s="20">
        <v>125766.05504587157</v>
      </c>
      <c r="N34" s="20">
        <v>132385.32110091744</v>
      </c>
      <c r="P34" s="22">
        <v>46175</v>
      </c>
      <c r="Q34" s="22">
        <v>46176</v>
      </c>
    </row>
    <row r="35" spans="1:17" s="21" customFormat="1" x14ac:dyDescent="0.3">
      <c r="A35" s="19" t="s">
        <v>41</v>
      </c>
      <c r="B35" s="19" t="s">
        <v>42</v>
      </c>
      <c r="C35" s="19" t="s">
        <v>43</v>
      </c>
      <c r="D35" s="19" t="s">
        <v>43</v>
      </c>
      <c r="E35" s="19" t="str">
        <f t="shared" si="0"/>
        <v xml:space="preserve">0126-0004DRM  </v>
      </c>
      <c r="F35" s="19" t="s">
        <v>34</v>
      </c>
      <c r="G35" s="19" t="s">
        <v>65</v>
      </c>
      <c r="H35" s="19" t="str">
        <f>+INDEX([1]Khi!$S:$S,MATCH(F35,[1]Khi!$P:$P,0))</f>
        <v xml:space="preserve">DRM  </v>
      </c>
      <c r="I35" s="20">
        <v>119795</v>
      </c>
      <c r="J35" s="20">
        <v>123500</v>
      </c>
      <c r="K35" s="20">
        <v>130000</v>
      </c>
      <c r="L35" s="20">
        <v>128413.76146788993</v>
      </c>
      <c r="M35" s="20">
        <v>125766.05504587157</v>
      </c>
      <c r="N35" s="20">
        <v>132385.32110091744</v>
      </c>
      <c r="P35" s="22">
        <v>46175</v>
      </c>
      <c r="Q35" s="22">
        <v>46176</v>
      </c>
    </row>
    <row r="36" spans="1:17" s="21" customFormat="1" x14ac:dyDescent="0.3">
      <c r="A36" s="19" t="s">
        <v>41</v>
      </c>
      <c r="B36" s="19" t="s">
        <v>42</v>
      </c>
      <c r="C36" s="19" t="s">
        <v>43</v>
      </c>
      <c r="D36" s="19" t="s">
        <v>43</v>
      </c>
      <c r="E36" s="19" t="str">
        <f t="shared" si="0"/>
        <v xml:space="preserve">0126-0009CAN  </v>
      </c>
      <c r="F36" s="19" t="s">
        <v>35</v>
      </c>
      <c r="G36" s="19" t="s">
        <v>66</v>
      </c>
      <c r="H36" s="19" t="str">
        <f>+INDEX([1]Khi!$S:$S,MATCH(F36,[1]Khi!$P:$P,0))</f>
        <v xml:space="preserve">CAN  </v>
      </c>
      <c r="I36" s="20">
        <v>15762.5</v>
      </c>
      <c r="J36" s="20">
        <v>16250</v>
      </c>
      <c r="K36" s="20">
        <v>17105.263157894737</v>
      </c>
      <c r="L36" s="20">
        <v>16896.547561564465</v>
      </c>
      <c r="M36" s="20">
        <v>16548.16513761468</v>
      </c>
      <c r="N36" s="20">
        <v>17419.121197489138</v>
      </c>
      <c r="P36" s="22">
        <v>46175</v>
      </c>
      <c r="Q36" s="22">
        <v>46176</v>
      </c>
    </row>
    <row r="37" spans="1:17" s="21" customFormat="1" x14ac:dyDescent="0.3">
      <c r="A37" s="19" t="s">
        <v>41</v>
      </c>
      <c r="B37" s="19" t="s">
        <v>42</v>
      </c>
      <c r="C37" s="19" t="s">
        <v>43</v>
      </c>
      <c r="D37" s="19" t="s">
        <v>43</v>
      </c>
      <c r="E37" s="19" t="str">
        <f t="shared" si="0"/>
        <v xml:space="preserve">0126-0035DRM  </v>
      </c>
      <c r="F37" s="19" t="s">
        <v>36</v>
      </c>
      <c r="G37" s="19" t="s">
        <v>67</v>
      </c>
      <c r="H37" s="19" t="str">
        <f>+INDEX([1]Khi!$S:$S,MATCH(F37,[1]Khi!$P:$P,0))</f>
        <v xml:space="preserve">DRM  </v>
      </c>
      <c r="I37" s="20">
        <v>100880</v>
      </c>
      <c r="J37" s="20">
        <v>104000</v>
      </c>
      <c r="K37" s="20">
        <v>109473.68421052632</v>
      </c>
      <c r="L37" s="20">
        <v>108137.90439401257</v>
      </c>
      <c r="M37" s="20">
        <v>105908.25688073396</v>
      </c>
      <c r="N37" s="20">
        <v>111482.37566393049</v>
      </c>
      <c r="P37" s="22">
        <v>46175</v>
      </c>
      <c r="Q37" s="22">
        <v>46176</v>
      </c>
    </row>
    <row r="38" spans="1:17" s="21" customFormat="1" x14ac:dyDescent="0.3">
      <c r="A38" s="19" t="s">
        <v>41</v>
      </c>
      <c r="B38" s="19" t="s">
        <v>42</v>
      </c>
      <c r="C38" s="19" t="s">
        <v>48</v>
      </c>
      <c r="D38" s="19" t="s">
        <v>48</v>
      </c>
      <c r="E38" s="19" t="str">
        <f t="shared" si="0"/>
        <v xml:space="preserve">0176-0019BAG  </v>
      </c>
      <c r="F38" s="19" t="s">
        <v>37</v>
      </c>
      <c r="G38" s="19" t="s">
        <v>68</v>
      </c>
      <c r="H38" s="19" t="str">
        <f>+INDEX([1]Khi!$S:$S,MATCH(F38,[1]Khi!$P:$P,0))</f>
        <v xml:space="preserve">BAG  </v>
      </c>
      <c r="I38" s="20">
        <v>26675</v>
      </c>
      <c r="J38" s="20">
        <v>27500</v>
      </c>
      <c r="K38" s="20">
        <v>28947.368421052637</v>
      </c>
      <c r="L38" s="20">
        <v>28594.157411878325</v>
      </c>
      <c r="M38" s="20">
        <v>28004.587155963305</v>
      </c>
      <c r="N38" s="20">
        <v>29478.512795750852</v>
      </c>
      <c r="P38" s="22">
        <v>46175</v>
      </c>
      <c r="Q38" s="22">
        <v>46176</v>
      </c>
    </row>
    <row r="39" spans="1:17" s="21" customFormat="1" x14ac:dyDescent="0.3">
      <c r="A39" s="19" t="s">
        <v>41</v>
      </c>
      <c r="B39" s="19" t="s">
        <v>42</v>
      </c>
      <c r="C39" s="19" t="s">
        <v>48</v>
      </c>
      <c r="D39" s="19" t="s">
        <v>48</v>
      </c>
      <c r="E39" s="19" t="str">
        <f t="shared" si="0"/>
        <v xml:space="preserve">0176-0009BAG  </v>
      </c>
      <c r="F39" s="19" t="s">
        <v>38</v>
      </c>
      <c r="G39" s="19" t="s">
        <v>69</v>
      </c>
      <c r="H39" s="19" t="str">
        <f>+INDEX([1]Khi!$S:$S,MATCH(F39,[1]Khi!$P:$P,0))</f>
        <v xml:space="preserve">BAG  </v>
      </c>
      <c r="I39" s="20">
        <v>14550</v>
      </c>
      <c r="J39" s="20">
        <v>15000</v>
      </c>
      <c r="K39" s="20">
        <v>15789.473684210527</v>
      </c>
      <c r="L39" s="20">
        <v>15596.813133751812</v>
      </c>
      <c r="M39" s="20">
        <v>15275.229357798165</v>
      </c>
      <c r="N39" s="20">
        <v>16079.18879768228</v>
      </c>
      <c r="P39" s="22">
        <v>46175</v>
      </c>
      <c r="Q39" s="22">
        <v>46176</v>
      </c>
    </row>
    <row r="40" spans="1:17" s="21" customFormat="1" x14ac:dyDescent="0.3">
      <c r="A40" s="19" t="s">
        <v>41</v>
      </c>
      <c r="B40" s="19" t="s">
        <v>42</v>
      </c>
      <c r="C40" s="19" t="s">
        <v>48</v>
      </c>
      <c r="D40" s="19" t="s">
        <v>48</v>
      </c>
      <c r="E40" s="19" t="str">
        <f t="shared" si="0"/>
        <v xml:space="preserve">0176-0006BAG  </v>
      </c>
      <c r="F40" s="19" t="s">
        <v>39</v>
      </c>
      <c r="G40" s="19" t="s">
        <v>70</v>
      </c>
      <c r="H40" s="19" t="str">
        <f>+INDEX([1]Khi!$S:$S,MATCH(F40,[1]Khi!$P:$P,0))</f>
        <v xml:space="preserve">BAG  </v>
      </c>
      <c r="I40" s="20">
        <v>16975</v>
      </c>
      <c r="J40" s="20">
        <v>17500</v>
      </c>
      <c r="K40" s="20">
        <v>18421.052631578947</v>
      </c>
      <c r="L40" s="20">
        <v>18196.281989377112</v>
      </c>
      <c r="M40" s="20">
        <v>17821.100917431191</v>
      </c>
      <c r="N40" s="20">
        <v>18759.053597295995</v>
      </c>
      <c r="P40" s="22">
        <v>46175</v>
      </c>
      <c r="Q40" s="22">
        <v>46176</v>
      </c>
    </row>
    <row r="41" spans="1:17" s="21" customFormat="1" x14ac:dyDescent="0.3">
      <c r="A41" s="19" t="s">
        <v>41</v>
      </c>
      <c r="B41" s="19" t="s">
        <v>42</v>
      </c>
      <c r="C41" s="19" t="s">
        <v>48</v>
      </c>
      <c r="D41" s="19" t="s">
        <v>48</v>
      </c>
      <c r="E41" s="19" t="str">
        <f t="shared" si="0"/>
        <v xml:space="preserve">0176-0018BAG  </v>
      </c>
      <c r="F41" s="19" t="s">
        <v>40</v>
      </c>
      <c r="G41" s="19" t="s">
        <v>71</v>
      </c>
      <c r="H41" s="19" t="str">
        <f>+INDEX([1]Khi!$S:$S,MATCH(F41,[1]Khi!$P:$P,0))</f>
        <v xml:space="preserve">BAG  </v>
      </c>
      <c r="I41" s="20">
        <v>18187.5</v>
      </c>
      <c r="J41" s="20">
        <v>18750</v>
      </c>
      <c r="K41" s="20">
        <v>19736.84210526316</v>
      </c>
      <c r="L41" s="20">
        <v>19496.01641718977</v>
      </c>
      <c r="M41" s="20">
        <v>19094.03669724771</v>
      </c>
      <c r="N41" s="20">
        <v>20098.985997102856</v>
      </c>
      <c r="P41" s="22">
        <v>46175</v>
      </c>
      <c r="Q41" s="22">
        <v>46176</v>
      </c>
    </row>
    <row r="42" spans="1:17" s="21" customFormat="1" x14ac:dyDescent="0.3">
      <c r="A42" s="21" t="s">
        <v>41</v>
      </c>
      <c r="B42" s="21" t="s">
        <v>42</v>
      </c>
      <c r="C42" s="21" t="s">
        <v>48</v>
      </c>
      <c r="D42" s="21" t="s">
        <v>48</v>
      </c>
      <c r="E42" s="19" t="str">
        <f t="shared" si="0"/>
        <v>0176-0017KG</v>
      </c>
      <c r="F42" s="21" t="s">
        <v>72</v>
      </c>
      <c r="G42" s="21" t="s">
        <v>73</v>
      </c>
      <c r="H42" s="21" t="s">
        <v>16</v>
      </c>
      <c r="I42" s="23">
        <v>970</v>
      </c>
      <c r="J42" s="24">
        <v>1000</v>
      </c>
      <c r="K42" s="23">
        <v>1052.6315789473686</v>
      </c>
      <c r="L42" s="23">
        <v>1039.7875422501211</v>
      </c>
      <c r="M42" s="23">
        <v>1018.3486238532113</v>
      </c>
      <c r="N42" s="23">
        <v>1071.9459198454856</v>
      </c>
      <c r="P42" s="22">
        <v>46175</v>
      </c>
      <c r="Q42" s="22">
        <v>46176</v>
      </c>
    </row>
    <row r="43" spans="1:17" s="25" customFormat="1" x14ac:dyDescent="0.3">
      <c r="A43" s="25" t="s">
        <v>41</v>
      </c>
      <c r="B43" s="25" t="s">
        <v>42</v>
      </c>
      <c r="C43" s="25" t="s">
        <v>48</v>
      </c>
      <c r="D43" s="25" t="s">
        <v>48</v>
      </c>
      <c r="E43" s="19" t="str">
        <f t="shared" si="0"/>
        <v xml:space="preserve">0176-0017BAG  </v>
      </c>
      <c r="F43" s="25" t="s">
        <v>72</v>
      </c>
      <c r="G43" s="25" t="s">
        <v>73</v>
      </c>
      <c r="H43" s="25" t="s">
        <v>17</v>
      </c>
      <c r="I43" s="23">
        <v>24250</v>
      </c>
      <c r="J43" s="20">
        <v>25000</v>
      </c>
      <c r="K43" s="23">
        <v>26315.78947368421</v>
      </c>
      <c r="L43" s="23">
        <v>25994.688556253022</v>
      </c>
      <c r="M43" s="23">
        <v>25458.715596330279</v>
      </c>
      <c r="N43" s="23">
        <v>26798.647996137137</v>
      </c>
      <c r="P43" s="22">
        <v>46175</v>
      </c>
      <c r="Q43" s="22">
        <v>46176</v>
      </c>
    </row>
    <row r="44" spans="1:17" s="25" customFormat="1" x14ac:dyDescent="0.3">
      <c r="A44" s="25" t="s">
        <v>41</v>
      </c>
      <c r="B44" s="25" t="s">
        <v>42</v>
      </c>
      <c r="C44" s="25" t="s">
        <v>48</v>
      </c>
      <c r="D44" s="25" t="s">
        <v>48</v>
      </c>
      <c r="E44" s="19" t="str">
        <f t="shared" si="0"/>
        <v>0176-0034KG</v>
      </c>
      <c r="F44" s="25" t="s">
        <v>74</v>
      </c>
      <c r="G44" s="25" t="s">
        <v>75</v>
      </c>
      <c r="H44" s="25" t="s">
        <v>16</v>
      </c>
      <c r="I44" s="23">
        <v>1067</v>
      </c>
      <c r="J44" s="24">
        <v>1100</v>
      </c>
      <c r="K44" s="23">
        <v>1157.8947368421054</v>
      </c>
      <c r="L44" s="23">
        <v>1143.766296475133</v>
      </c>
      <c r="M44" s="23">
        <v>1120.1834862385322</v>
      </c>
      <c r="N44" s="23">
        <v>1179.140511830034</v>
      </c>
      <c r="P44" s="22">
        <v>46175</v>
      </c>
      <c r="Q44" s="22">
        <v>46176</v>
      </c>
    </row>
    <row r="45" spans="1:17" s="25" customFormat="1" x14ac:dyDescent="0.3">
      <c r="A45" s="25" t="s">
        <v>41</v>
      </c>
      <c r="B45" s="25" t="s">
        <v>42</v>
      </c>
      <c r="C45" s="25" t="s">
        <v>48</v>
      </c>
      <c r="D45" s="25" t="s">
        <v>48</v>
      </c>
      <c r="E45" s="19" t="str">
        <f t="shared" si="0"/>
        <v xml:space="preserve">0176-0034BAG  </v>
      </c>
      <c r="F45" s="25" t="s">
        <v>74</v>
      </c>
      <c r="G45" s="25" t="s">
        <v>75</v>
      </c>
      <c r="H45" s="25" t="s">
        <v>17</v>
      </c>
      <c r="I45" s="23">
        <v>26675</v>
      </c>
      <c r="J45" s="26">
        <v>27500</v>
      </c>
      <c r="K45" s="23">
        <v>28947.368421052633</v>
      </c>
      <c r="L45" s="23">
        <v>28594.157411878321</v>
      </c>
      <c r="M45" s="23">
        <v>28004.587155963305</v>
      </c>
      <c r="N45" s="23">
        <v>29478.512795750848</v>
      </c>
      <c r="P45" s="22">
        <v>46175</v>
      </c>
      <c r="Q45" s="22">
        <v>46176</v>
      </c>
    </row>
    <row r="46" spans="1:17" s="25" customFormat="1" x14ac:dyDescent="0.3">
      <c r="A46" s="25" t="s">
        <v>41</v>
      </c>
      <c r="B46" s="25" t="s">
        <v>42</v>
      </c>
      <c r="C46" s="25" t="s">
        <v>43</v>
      </c>
      <c r="D46" s="25" t="s">
        <v>43</v>
      </c>
      <c r="E46" s="19" t="str">
        <f t="shared" si="0"/>
        <v>0126-0026KG</v>
      </c>
      <c r="F46" s="25" t="s">
        <v>76</v>
      </c>
      <c r="G46" s="25" t="s">
        <v>77</v>
      </c>
      <c r="H46" s="25" t="s">
        <v>16</v>
      </c>
      <c r="I46" s="23">
        <v>552.9</v>
      </c>
      <c r="J46" s="24">
        <v>570</v>
      </c>
      <c r="K46" s="23">
        <v>600</v>
      </c>
      <c r="L46" s="23">
        <v>592.67889908256893</v>
      </c>
      <c r="M46" s="23">
        <v>580.45871559633031</v>
      </c>
      <c r="N46" s="23">
        <v>611.0091743119267</v>
      </c>
      <c r="P46" s="22">
        <v>46175</v>
      </c>
      <c r="Q46" s="22">
        <v>46176</v>
      </c>
    </row>
    <row r="47" spans="1:17" s="25" customFormat="1" x14ac:dyDescent="0.3">
      <c r="A47" s="25" t="s">
        <v>41</v>
      </c>
      <c r="B47" s="25" t="s">
        <v>42</v>
      </c>
      <c r="C47" s="25" t="s">
        <v>43</v>
      </c>
      <c r="D47" s="25" t="s">
        <v>43</v>
      </c>
      <c r="E47" s="19" t="str">
        <f t="shared" si="0"/>
        <v xml:space="preserve">0126-0026DRM  </v>
      </c>
      <c r="F47" s="25" t="s">
        <v>76</v>
      </c>
      <c r="G47" s="25" t="s">
        <v>77</v>
      </c>
      <c r="H47" s="25" t="s">
        <v>18</v>
      </c>
      <c r="I47" s="23">
        <v>13822.5</v>
      </c>
      <c r="J47" s="26">
        <v>14250</v>
      </c>
      <c r="K47" s="23">
        <v>15000</v>
      </c>
      <c r="L47" s="23">
        <v>14816.972477064222</v>
      </c>
      <c r="M47" s="23">
        <v>14511.467889908257</v>
      </c>
      <c r="N47" s="23">
        <v>15275.229357798167</v>
      </c>
      <c r="P47" s="22">
        <v>46175</v>
      </c>
      <c r="Q47" s="22">
        <v>46176</v>
      </c>
    </row>
    <row r="48" spans="1:17" x14ac:dyDescent="0.3">
      <c r="I48" s="7"/>
      <c r="J48" s="7"/>
      <c r="K48" s="7"/>
      <c r="L48" s="7"/>
      <c r="M48" s="7"/>
      <c r="N48" s="7"/>
      <c r="P48" s="3"/>
      <c r="Q48" s="3"/>
    </row>
    <row r="49" spans="9:17" x14ac:dyDescent="0.3">
      <c r="I49" s="7"/>
      <c r="J49" s="7"/>
      <c r="K49" s="7"/>
      <c r="L49" s="7"/>
      <c r="M49" s="7"/>
      <c r="N49" s="7"/>
      <c r="P49" s="3"/>
      <c r="Q49" s="3"/>
    </row>
    <row r="50" spans="9:17" x14ac:dyDescent="0.3">
      <c r="I50" s="7"/>
      <c r="J50" s="7"/>
      <c r="K50" s="7"/>
      <c r="L50" s="7"/>
      <c r="M50" s="7"/>
      <c r="N50" s="7"/>
      <c r="P50" s="3"/>
      <c r="Q50" s="3"/>
    </row>
    <row r="51" spans="9:17" x14ac:dyDescent="0.3">
      <c r="I51" s="7"/>
      <c r="J51" s="7"/>
      <c r="K51" s="7"/>
      <c r="L51" s="7"/>
      <c r="M51" s="7"/>
      <c r="N51" s="7"/>
      <c r="P51" s="3"/>
      <c r="Q51" s="3"/>
    </row>
    <row r="52" spans="9:17" x14ac:dyDescent="0.3">
      <c r="I52" s="7"/>
      <c r="J52" s="7"/>
      <c r="K52" s="7"/>
      <c r="L52" s="7"/>
      <c r="M52" s="7"/>
      <c r="N52" s="7"/>
      <c r="P52" s="3"/>
      <c r="Q52" s="3"/>
    </row>
    <row r="53" spans="9:17" x14ac:dyDescent="0.3">
      <c r="I53" s="7"/>
      <c r="J53" s="7"/>
      <c r="K53" s="7"/>
      <c r="L53" s="7"/>
      <c r="M53" s="7"/>
      <c r="N53" s="7"/>
      <c r="P53" s="3"/>
      <c r="Q53" s="3"/>
    </row>
    <row r="54" spans="9:17" x14ac:dyDescent="0.3">
      <c r="I54" s="8"/>
      <c r="J54" s="8"/>
      <c r="K54" s="8"/>
      <c r="L54" s="7"/>
      <c r="M54" s="7"/>
      <c r="N54" s="7"/>
      <c r="P54" s="3"/>
      <c r="Q54" s="3"/>
    </row>
    <row r="55" spans="9:17" x14ac:dyDescent="0.3">
      <c r="I55" s="7"/>
      <c r="J55" s="7"/>
      <c r="K55" s="7"/>
      <c r="L55" s="7"/>
      <c r="M55" s="7"/>
      <c r="N55" s="7"/>
      <c r="O55" s="7"/>
      <c r="P55" s="3"/>
      <c r="Q55" s="3"/>
    </row>
    <row r="56" spans="9:17" x14ac:dyDescent="0.3">
      <c r="I56" s="7"/>
      <c r="J56" s="7"/>
      <c r="K56" s="7"/>
      <c r="L56" s="7"/>
      <c r="M56" s="7"/>
      <c r="N56" s="7"/>
      <c r="O56" s="7"/>
      <c r="P56" s="3"/>
      <c r="Q56" s="3"/>
    </row>
    <row r="57" spans="9:17" x14ac:dyDescent="0.3">
      <c r="I57" s="7"/>
      <c r="J57" s="7"/>
      <c r="K57" s="7"/>
      <c r="L57" s="7"/>
      <c r="M57" s="7"/>
      <c r="N57" s="7"/>
      <c r="O57" s="7"/>
      <c r="P57" s="3"/>
      <c r="Q57" s="3"/>
    </row>
    <row r="58" spans="9:17" x14ac:dyDescent="0.3">
      <c r="I58" s="7"/>
      <c r="J58" s="7"/>
      <c r="K58" s="7"/>
      <c r="L58" s="7"/>
      <c r="M58" s="7"/>
      <c r="N58" s="7"/>
      <c r="O58" s="7"/>
      <c r="P58" s="3"/>
      <c r="Q58" s="3"/>
    </row>
    <row r="59" spans="9:17" x14ac:dyDescent="0.3">
      <c r="I59" s="7"/>
      <c r="J59" s="7"/>
      <c r="K59" s="7"/>
      <c r="L59" s="7"/>
      <c r="M59" s="7"/>
      <c r="N59" s="7"/>
      <c r="O59" s="7"/>
      <c r="P59" s="3"/>
      <c r="Q59" s="3"/>
    </row>
    <row r="60" spans="9:17" x14ac:dyDescent="0.3">
      <c r="I60" s="7"/>
      <c r="J60" s="7"/>
      <c r="K60" s="7"/>
      <c r="L60" s="7"/>
      <c r="M60" s="7"/>
      <c r="N60" s="7"/>
      <c r="O60" s="7"/>
      <c r="P60" s="3"/>
      <c r="Q60" s="3"/>
    </row>
    <row r="61" spans="9:17" x14ac:dyDescent="0.3">
      <c r="I61" s="7"/>
      <c r="J61" s="7"/>
      <c r="K61" s="7"/>
      <c r="L61" s="7"/>
      <c r="M61" s="7"/>
      <c r="N61" s="7"/>
      <c r="O61" s="7"/>
      <c r="P61" s="3"/>
      <c r="Q61" s="3"/>
    </row>
    <row r="62" spans="9:17" x14ac:dyDescent="0.3">
      <c r="I62" s="7"/>
      <c r="J62" s="7"/>
      <c r="K62" s="7"/>
      <c r="L62" s="7"/>
      <c r="M62" s="7"/>
      <c r="N62" s="7"/>
      <c r="O62" s="7"/>
      <c r="P62" s="3"/>
      <c r="Q62" s="3"/>
    </row>
    <row r="63" spans="9:17" x14ac:dyDescent="0.3">
      <c r="I63" s="7"/>
      <c r="J63" s="7"/>
      <c r="K63" s="7"/>
      <c r="L63" s="7"/>
      <c r="M63" s="7"/>
      <c r="N63" s="7"/>
      <c r="O63" s="7"/>
      <c r="P63" s="3"/>
      <c r="Q63" s="3"/>
    </row>
    <row r="64" spans="9:17" x14ac:dyDescent="0.3">
      <c r="I64" s="7"/>
      <c r="J64" s="7"/>
      <c r="K64" s="7"/>
      <c r="L64" s="7"/>
      <c r="M64" s="7"/>
      <c r="N64" s="7"/>
      <c r="O64" s="7"/>
      <c r="P64" s="3"/>
      <c r="Q64" s="3"/>
    </row>
    <row r="65" spans="9:17" x14ac:dyDescent="0.3">
      <c r="I65" s="7"/>
      <c r="J65" s="7"/>
      <c r="K65" s="7"/>
      <c r="L65" s="7"/>
      <c r="M65" s="7"/>
      <c r="N65" s="7"/>
      <c r="O65" s="7"/>
      <c r="P65" s="3"/>
      <c r="Q65" s="3"/>
    </row>
    <row r="66" spans="9:17" x14ac:dyDescent="0.3">
      <c r="I66" s="7"/>
      <c r="J66" s="7"/>
      <c r="K66" s="7"/>
      <c r="L66" s="7"/>
      <c r="M66" s="7"/>
      <c r="N66" s="7"/>
      <c r="O66" s="7"/>
      <c r="P66" s="3"/>
      <c r="Q66" s="3"/>
    </row>
    <row r="67" spans="9:17" x14ac:dyDescent="0.3">
      <c r="I67" s="7"/>
      <c r="J67" s="7"/>
      <c r="K67" s="7"/>
      <c r="L67" s="7"/>
      <c r="M67" s="7"/>
      <c r="N67" s="7"/>
      <c r="O67" s="7"/>
      <c r="P67" s="3"/>
      <c r="Q67" s="3"/>
    </row>
    <row r="68" spans="9:17" x14ac:dyDescent="0.3">
      <c r="I68" s="7"/>
      <c r="J68" s="7"/>
      <c r="K68" s="7"/>
      <c r="L68" s="7"/>
      <c r="M68" s="7"/>
      <c r="N68" s="7"/>
      <c r="O68" s="7"/>
      <c r="P68" s="3"/>
      <c r="Q68" s="3"/>
    </row>
    <row r="69" spans="9:17" x14ac:dyDescent="0.3">
      <c r="I69" s="7"/>
      <c r="J69" s="7"/>
      <c r="K69" s="7"/>
      <c r="L69" s="7"/>
      <c r="M69" s="7"/>
      <c r="N69" s="7"/>
      <c r="O69" s="7"/>
      <c r="P69" s="3"/>
      <c r="Q69" s="3"/>
    </row>
    <row r="70" spans="9:17" x14ac:dyDescent="0.3">
      <c r="I70" s="7"/>
      <c r="J70" s="7"/>
      <c r="K70" s="7"/>
      <c r="L70" s="7"/>
      <c r="M70" s="7"/>
      <c r="N70" s="7"/>
      <c r="O70" s="7"/>
      <c r="P70" s="3"/>
      <c r="Q70" s="3"/>
    </row>
    <row r="71" spans="9:17" x14ac:dyDescent="0.3">
      <c r="I71" s="7"/>
      <c r="J71" s="7"/>
      <c r="K71" s="7"/>
      <c r="L71" s="7"/>
      <c r="M71" s="7"/>
      <c r="N71" s="7"/>
      <c r="O71" s="7"/>
      <c r="P71" s="3"/>
      <c r="Q71" s="3"/>
    </row>
    <row r="72" spans="9:17" x14ac:dyDescent="0.3">
      <c r="I72" s="7"/>
      <c r="J72" s="7"/>
      <c r="K72" s="7"/>
      <c r="L72" s="7"/>
      <c r="M72" s="7"/>
      <c r="N72" s="7"/>
      <c r="O72" s="7"/>
      <c r="P72" s="3"/>
      <c r="Q72" s="3"/>
    </row>
    <row r="73" spans="9:17" x14ac:dyDescent="0.3">
      <c r="I73" s="7"/>
      <c r="J73" s="7"/>
      <c r="K73" s="7"/>
      <c r="L73" s="7"/>
      <c r="M73" s="7"/>
      <c r="N73" s="7"/>
      <c r="O73" s="7"/>
      <c r="P73" s="3"/>
      <c r="Q73" s="3"/>
    </row>
    <row r="74" spans="9:17" x14ac:dyDescent="0.3">
      <c r="I74" s="7"/>
      <c r="J74" s="7"/>
      <c r="K74" s="7"/>
      <c r="L74" s="7"/>
      <c r="M74" s="7"/>
      <c r="N74" s="7"/>
      <c r="O74" s="7"/>
      <c r="P74" s="3"/>
      <c r="Q74" s="3"/>
    </row>
    <row r="75" spans="9:17" x14ac:dyDescent="0.3">
      <c r="I75" s="7"/>
      <c r="J75" s="7"/>
      <c r="K75" s="7"/>
      <c r="L75" s="7"/>
      <c r="M75" s="7"/>
      <c r="N75" s="7"/>
      <c r="O75" s="7"/>
      <c r="P75" s="3"/>
      <c r="Q75" s="3"/>
    </row>
    <row r="76" spans="9:17" x14ac:dyDescent="0.3">
      <c r="I76" s="7"/>
      <c r="J76" s="7"/>
      <c r="K76" s="7"/>
      <c r="L76" s="7"/>
      <c r="M76" s="7"/>
      <c r="N76" s="7"/>
      <c r="O76" s="7"/>
      <c r="P76" s="3"/>
      <c r="Q76" s="3"/>
    </row>
    <row r="77" spans="9:17" x14ac:dyDescent="0.3">
      <c r="I77" s="7"/>
      <c r="J77" s="7"/>
      <c r="K77" s="7"/>
      <c r="L77" s="7"/>
      <c r="M77" s="7"/>
      <c r="N77" s="7"/>
      <c r="O77" s="7"/>
      <c r="P77" s="3"/>
      <c r="Q77" s="3"/>
    </row>
    <row r="78" spans="9:17" x14ac:dyDescent="0.3">
      <c r="I78" s="7"/>
      <c r="J78" s="7"/>
      <c r="K78" s="7"/>
      <c r="L78" s="7"/>
      <c r="M78" s="7"/>
      <c r="N78" s="7"/>
      <c r="O78" s="7"/>
      <c r="P78" s="3"/>
      <c r="Q78" s="3"/>
    </row>
    <row r="79" spans="9:17" x14ac:dyDescent="0.3">
      <c r="I79" s="7"/>
      <c r="J79" s="7"/>
      <c r="K79" s="7"/>
      <c r="L79" s="7"/>
      <c r="M79" s="7"/>
      <c r="N79" s="7"/>
      <c r="O79" s="7"/>
      <c r="P79" s="3"/>
      <c r="Q79" s="3"/>
    </row>
    <row r="80" spans="9:17" x14ac:dyDescent="0.3">
      <c r="I80" s="7"/>
      <c r="J80" s="7"/>
      <c r="K80" s="7"/>
      <c r="L80" s="7"/>
      <c r="M80" s="7"/>
      <c r="N80" s="7"/>
      <c r="O80" s="7"/>
      <c r="P80" s="3"/>
      <c r="Q80" s="3"/>
    </row>
    <row r="81" spans="9:17" x14ac:dyDescent="0.3">
      <c r="I81" s="7"/>
      <c r="J81" s="7"/>
      <c r="K81" s="7"/>
      <c r="L81" s="7"/>
      <c r="M81" s="7"/>
      <c r="N81" s="7"/>
      <c r="O81" s="7"/>
      <c r="P81" s="3"/>
      <c r="Q81" s="3"/>
    </row>
    <row r="82" spans="9:17" x14ac:dyDescent="0.3">
      <c r="I82" s="7"/>
      <c r="J82" s="7"/>
      <c r="K82" s="7"/>
      <c r="L82" s="7"/>
      <c r="M82" s="7"/>
      <c r="N82" s="7"/>
      <c r="O82" s="7"/>
      <c r="P82" s="3"/>
      <c r="Q82" s="3"/>
    </row>
    <row r="83" spans="9:17" x14ac:dyDescent="0.3">
      <c r="I83" s="7"/>
      <c r="J83" s="7"/>
      <c r="K83" s="7"/>
      <c r="L83" s="7"/>
      <c r="M83" s="7"/>
      <c r="N83" s="7"/>
      <c r="O83" s="7"/>
      <c r="P83" s="3"/>
      <c r="Q83" s="3"/>
    </row>
    <row r="84" spans="9:17" x14ac:dyDescent="0.3">
      <c r="I84" s="7"/>
      <c r="J84" s="7"/>
      <c r="K84" s="7"/>
      <c r="L84" s="7"/>
      <c r="M84" s="7"/>
      <c r="N84" s="7"/>
      <c r="O84" s="7"/>
      <c r="P84" s="3"/>
      <c r="Q84" s="3"/>
    </row>
    <row r="85" spans="9:17" x14ac:dyDescent="0.3">
      <c r="I85" s="7"/>
      <c r="J85" s="7"/>
      <c r="K85" s="7"/>
      <c r="L85" s="7"/>
      <c r="M85" s="7"/>
      <c r="N85" s="7"/>
      <c r="O85" s="7"/>
      <c r="P85" s="3"/>
      <c r="Q85" s="3"/>
    </row>
    <row r="86" spans="9:17" x14ac:dyDescent="0.3">
      <c r="I86" s="7"/>
      <c r="J86" s="7"/>
      <c r="K86" s="7"/>
      <c r="L86" s="7"/>
      <c r="M86" s="7"/>
      <c r="N86" s="7"/>
      <c r="O86" s="7"/>
      <c r="P86" s="3"/>
      <c r="Q86" s="3"/>
    </row>
    <row r="87" spans="9:17" x14ac:dyDescent="0.3">
      <c r="I87" s="7"/>
      <c r="J87" s="7"/>
      <c r="K87" s="7"/>
      <c r="L87" s="7"/>
      <c r="M87" s="7"/>
      <c r="N87" s="7"/>
      <c r="O87" s="7"/>
      <c r="P87" s="3"/>
      <c r="Q87" s="3"/>
    </row>
    <row r="88" spans="9:17" x14ac:dyDescent="0.3">
      <c r="I88" s="7"/>
      <c r="J88" s="7"/>
      <c r="K88" s="7"/>
      <c r="L88" s="7"/>
      <c r="M88" s="7"/>
      <c r="N88" s="7"/>
      <c r="O88" s="7"/>
      <c r="P88" s="3"/>
      <c r="Q88" s="3"/>
    </row>
    <row r="89" spans="9:17" x14ac:dyDescent="0.3">
      <c r="I89" s="7"/>
      <c r="J89" s="7"/>
      <c r="K89" s="7"/>
      <c r="L89" s="7"/>
      <c r="M89" s="7"/>
      <c r="N89" s="7"/>
      <c r="O89" s="7"/>
      <c r="P89" s="3"/>
      <c r="Q89" s="3"/>
    </row>
    <row r="90" spans="9:17" x14ac:dyDescent="0.3">
      <c r="I90" s="7"/>
      <c r="J90" s="7"/>
      <c r="K90" s="7"/>
      <c r="L90" s="7"/>
      <c r="M90" s="7"/>
      <c r="N90" s="7"/>
      <c r="O90" s="7"/>
      <c r="P90" s="3"/>
      <c r="Q90" s="3"/>
    </row>
    <row r="91" spans="9:17" x14ac:dyDescent="0.3">
      <c r="I91" s="7"/>
      <c r="J91" s="7"/>
      <c r="K91" s="7"/>
      <c r="L91" s="7"/>
      <c r="M91" s="7"/>
      <c r="N91" s="7"/>
      <c r="O91" s="7"/>
      <c r="P91" s="3"/>
      <c r="Q91" s="3"/>
    </row>
    <row r="92" spans="9:17" x14ac:dyDescent="0.3">
      <c r="P92" s="3"/>
      <c r="Q92" s="3"/>
    </row>
    <row r="93" spans="9:17" x14ac:dyDescent="0.3">
      <c r="P93" s="3"/>
      <c r="Q93" s="3"/>
    </row>
    <row r="94" spans="9:17" x14ac:dyDescent="0.3">
      <c r="P94" s="3"/>
      <c r="Q94" s="3"/>
    </row>
    <row r="95" spans="9:17" x14ac:dyDescent="0.3">
      <c r="P95" s="3"/>
      <c r="Q95" s="3"/>
    </row>
    <row r="96" spans="9:17" x14ac:dyDescent="0.3">
      <c r="P96" s="3"/>
      <c r="Q96" s="3"/>
    </row>
    <row r="97" spans="16:17" x14ac:dyDescent="0.3">
      <c r="P97" s="3"/>
      <c r="Q97" s="3"/>
    </row>
    <row r="98" spans="16:17" x14ac:dyDescent="0.3">
      <c r="P98" s="3"/>
      <c r="Q98" s="3"/>
    </row>
    <row r="99" spans="16:17" x14ac:dyDescent="0.3">
      <c r="P99" s="3"/>
      <c r="Q99" s="3"/>
    </row>
    <row r="100" spans="16:17" x14ac:dyDescent="0.3">
      <c r="P100" s="3"/>
      <c r="Q100" s="3"/>
    </row>
    <row r="101" spans="16:17" x14ac:dyDescent="0.3">
      <c r="P101" s="3"/>
      <c r="Q101" s="3"/>
    </row>
    <row r="102" spans="16:17" x14ac:dyDescent="0.3">
      <c r="P102" s="3"/>
      <c r="Q102" s="3"/>
    </row>
    <row r="103" spans="16:17" x14ac:dyDescent="0.3">
      <c r="P103" s="3"/>
      <c r="Q103" s="3"/>
    </row>
    <row r="104" spans="16:17" x14ac:dyDescent="0.3">
      <c r="P104" s="3"/>
      <c r="Q104" s="3"/>
    </row>
    <row r="105" spans="16:17" x14ac:dyDescent="0.3">
      <c r="P105" s="3"/>
      <c r="Q105" s="3"/>
    </row>
    <row r="106" spans="16:17" x14ac:dyDescent="0.3">
      <c r="P106" s="3"/>
      <c r="Q106" s="3"/>
    </row>
    <row r="107" spans="16:17" x14ac:dyDescent="0.3">
      <c r="P107" s="3"/>
      <c r="Q107" s="3"/>
    </row>
    <row r="108" spans="16:17" x14ac:dyDescent="0.3">
      <c r="P108" s="3"/>
      <c r="Q108" s="3"/>
    </row>
    <row r="109" spans="16:17" x14ac:dyDescent="0.3">
      <c r="P109" s="3"/>
      <c r="Q109" s="3"/>
    </row>
    <row r="110" spans="16:17" x14ac:dyDescent="0.3">
      <c r="P110" s="3"/>
      <c r="Q110" s="3"/>
    </row>
    <row r="111" spans="16:17" x14ac:dyDescent="0.3">
      <c r="P111" s="3"/>
      <c r="Q111" s="3"/>
    </row>
    <row r="112" spans="16:17" x14ac:dyDescent="0.3">
      <c r="P112" s="3"/>
      <c r="Q112" s="3"/>
    </row>
    <row r="113" spans="16:17" x14ac:dyDescent="0.3">
      <c r="P113" s="3"/>
      <c r="Q113" s="3"/>
    </row>
    <row r="114" spans="16:17" x14ac:dyDescent="0.3">
      <c r="P114" s="3"/>
      <c r="Q114" s="3"/>
    </row>
    <row r="115" spans="16:17" x14ac:dyDescent="0.3">
      <c r="P115" s="3"/>
      <c r="Q115" s="3"/>
    </row>
    <row r="116" spans="16:17" x14ac:dyDescent="0.3">
      <c r="P116" s="3"/>
      <c r="Q116" s="3"/>
    </row>
    <row r="117" spans="16:17" x14ac:dyDescent="0.3">
      <c r="P117" s="3"/>
      <c r="Q117" s="3"/>
    </row>
    <row r="118" spans="16:17" x14ac:dyDescent="0.3">
      <c r="P118" s="3"/>
      <c r="Q118" s="3"/>
    </row>
    <row r="119" spans="16:17" x14ac:dyDescent="0.3">
      <c r="P119" s="3"/>
      <c r="Q119" s="3"/>
    </row>
    <row r="120" spans="16:17" x14ac:dyDescent="0.3">
      <c r="P120" s="3"/>
      <c r="Q120" s="3"/>
    </row>
    <row r="121" spans="16:17" x14ac:dyDescent="0.3">
      <c r="P121" s="3"/>
      <c r="Q121" s="3"/>
    </row>
    <row r="122" spans="16:17" x14ac:dyDescent="0.3">
      <c r="P122" s="3"/>
      <c r="Q122" s="3"/>
    </row>
    <row r="123" spans="16:17" x14ac:dyDescent="0.3">
      <c r="P123" s="3"/>
      <c r="Q123" s="3"/>
    </row>
    <row r="124" spans="16:17" x14ac:dyDescent="0.3">
      <c r="P124" s="3"/>
      <c r="Q124" s="3"/>
    </row>
    <row r="125" spans="16:17" x14ac:dyDescent="0.3">
      <c r="P125" s="3"/>
      <c r="Q125" s="3"/>
    </row>
    <row r="126" spans="16:17" x14ac:dyDescent="0.3">
      <c r="P126" s="3"/>
      <c r="Q126" s="3"/>
    </row>
    <row r="127" spans="16:17" x14ac:dyDescent="0.3">
      <c r="P127" s="3"/>
      <c r="Q127" s="3"/>
    </row>
    <row r="128" spans="16:17" x14ac:dyDescent="0.3">
      <c r="P128" s="3"/>
      <c r="Q128" s="3"/>
    </row>
    <row r="129" spans="16:17" x14ac:dyDescent="0.3">
      <c r="P129" s="3"/>
      <c r="Q129" s="3"/>
    </row>
    <row r="130" spans="16:17" x14ac:dyDescent="0.3">
      <c r="P130" s="3"/>
      <c r="Q130" s="3"/>
    </row>
    <row r="131" spans="16:17" x14ac:dyDescent="0.3">
      <c r="P131" s="3"/>
      <c r="Q131" s="3"/>
    </row>
    <row r="132" spans="16:17" x14ac:dyDescent="0.3">
      <c r="P132" s="3"/>
      <c r="Q132" s="3"/>
    </row>
    <row r="133" spans="16:17" x14ac:dyDescent="0.3">
      <c r="P133" s="3"/>
      <c r="Q133" s="3"/>
    </row>
    <row r="134" spans="16:17" x14ac:dyDescent="0.3">
      <c r="P134" s="3"/>
      <c r="Q134" s="3"/>
    </row>
    <row r="135" spans="16:17" x14ac:dyDescent="0.3">
      <c r="P135" s="3"/>
      <c r="Q135" s="3"/>
    </row>
    <row r="136" spans="16:17" x14ac:dyDescent="0.3">
      <c r="P136" s="3"/>
      <c r="Q136" s="3"/>
    </row>
    <row r="137" spans="16:17" x14ac:dyDescent="0.3">
      <c r="P137" s="3"/>
      <c r="Q137" s="3"/>
    </row>
    <row r="138" spans="16:17" x14ac:dyDescent="0.3">
      <c r="P138" s="3"/>
      <c r="Q138" s="3"/>
    </row>
    <row r="139" spans="16:17" x14ac:dyDescent="0.3">
      <c r="P139" s="3"/>
      <c r="Q139" s="3"/>
    </row>
    <row r="140" spans="16:17" x14ac:dyDescent="0.3">
      <c r="P140" s="3"/>
      <c r="Q140" s="3"/>
    </row>
    <row r="141" spans="16:17" x14ac:dyDescent="0.3">
      <c r="P141" s="3"/>
      <c r="Q141" s="3"/>
    </row>
    <row r="142" spans="16:17" x14ac:dyDescent="0.3">
      <c r="P142" s="3"/>
      <c r="Q142" s="3"/>
    </row>
    <row r="143" spans="16:17" x14ac:dyDescent="0.3">
      <c r="P143" s="3"/>
      <c r="Q143" s="3"/>
    </row>
    <row r="144" spans="16:17" x14ac:dyDescent="0.3">
      <c r="P144" s="3"/>
      <c r="Q144" s="3"/>
    </row>
    <row r="145" spans="16:17" x14ac:dyDescent="0.3">
      <c r="P145" s="3"/>
      <c r="Q145" s="3"/>
    </row>
    <row r="146" spans="16:17" x14ac:dyDescent="0.3">
      <c r="P146" s="3"/>
      <c r="Q146" s="3"/>
    </row>
    <row r="147" spans="16:17" x14ac:dyDescent="0.3">
      <c r="P147" s="3"/>
      <c r="Q147" s="3"/>
    </row>
    <row r="148" spans="16:17" x14ac:dyDescent="0.3">
      <c r="P148" s="3"/>
      <c r="Q148" s="3"/>
    </row>
    <row r="149" spans="16:17" x14ac:dyDescent="0.3">
      <c r="P149" s="3"/>
      <c r="Q149" s="3"/>
    </row>
    <row r="150" spans="16:17" x14ac:dyDescent="0.3">
      <c r="P150" s="3"/>
      <c r="Q150" s="3"/>
    </row>
    <row r="151" spans="16:17" x14ac:dyDescent="0.3">
      <c r="P151" s="3"/>
      <c r="Q151" s="3"/>
    </row>
    <row r="152" spans="16:17" x14ac:dyDescent="0.3">
      <c r="P152" s="3"/>
      <c r="Q152" s="3"/>
    </row>
    <row r="153" spans="16:17" x14ac:dyDescent="0.3">
      <c r="P153" s="3"/>
      <c r="Q153" s="3"/>
    </row>
    <row r="154" spans="16:17" x14ac:dyDescent="0.3">
      <c r="P154" s="3"/>
      <c r="Q154" s="3"/>
    </row>
    <row r="155" spans="16:17" x14ac:dyDescent="0.3">
      <c r="P155" s="3"/>
      <c r="Q155" s="3"/>
    </row>
    <row r="156" spans="16:17" x14ac:dyDescent="0.3">
      <c r="P156" s="3"/>
      <c r="Q156" s="3"/>
    </row>
    <row r="157" spans="16:17" x14ac:dyDescent="0.3">
      <c r="P157" s="3"/>
      <c r="Q157" s="3"/>
    </row>
    <row r="158" spans="16:17" x14ac:dyDescent="0.3">
      <c r="P158" s="3"/>
      <c r="Q158" s="3"/>
    </row>
    <row r="159" spans="16:17" x14ac:dyDescent="0.3">
      <c r="P159" s="3"/>
      <c r="Q159" s="3"/>
    </row>
    <row r="160" spans="16:17" x14ac:dyDescent="0.3">
      <c r="P160" s="3"/>
      <c r="Q160" s="3"/>
    </row>
    <row r="161" spans="9:17" x14ac:dyDescent="0.3">
      <c r="P161" s="3"/>
      <c r="Q161" s="3"/>
    </row>
    <row r="162" spans="9:17" x14ac:dyDescent="0.3">
      <c r="P162" s="3"/>
      <c r="Q162" s="3"/>
    </row>
    <row r="163" spans="9:17" x14ac:dyDescent="0.3">
      <c r="P163" s="3"/>
      <c r="Q163" s="3"/>
    </row>
    <row r="164" spans="9:17" x14ac:dyDescent="0.3">
      <c r="P164" s="3"/>
      <c r="Q164" s="3"/>
    </row>
    <row r="165" spans="9:17" x14ac:dyDescent="0.3">
      <c r="P165" s="3"/>
      <c r="Q165" s="3"/>
    </row>
    <row r="166" spans="9:17" x14ac:dyDescent="0.3">
      <c r="P166" s="3"/>
      <c r="Q166" s="3"/>
    </row>
    <row r="167" spans="9:17" x14ac:dyDescent="0.3">
      <c r="P167" s="3"/>
      <c r="Q167" s="3"/>
    </row>
    <row r="168" spans="9:17" x14ac:dyDescent="0.3">
      <c r="P168" s="3"/>
      <c r="Q168" s="3"/>
    </row>
    <row r="169" spans="9:17" x14ac:dyDescent="0.3">
      <c r="P169" s="3"/>
      <c r="Q169" s="3"/>
    </row>
    <row r="170" spans="9:17" x14ac:dyDescent="0.3">
      <c r="P170" s="3"/>
      <c r="Q170" s="3"/>
    </row>
    <row r="171" spans="9:17" x14ac:dyDescent="0.3">
      <c r="P171" s="3"/>
      <c r="Q171" s="3"/>
    </row>
    <row r="172" spans="9:17" x14ac:dyDescent="0.3">
      <c r="P172" s="3"/>
      <c r="Q172" s="3"/>
    </row>
    <row r="173" spans="9:17" x14ac:dyDescent="0.3">
      <c r="I173" s="5"/>
      <c r="J173" s="5"/>
      <c r="K173" s="5"/>
      <c r="L173" s="5"/>
      <c r="M173" s="5"/>
      <c r="N173" s="5"/>
      <c r="P173" s="3"/>
      <c r="Q173" s="3"/>
    </row>
    <row r="174" spans="9:17" x14ac:dyDescent="0.3">
      <c r="I174" s="6"/>
      <c r="J174" s="6"/>
      <c r="K174" s="6"/>
      <c r="L174" s="6"/>
      <c r="M174" s="6"/>
      <c r="N174" s="5"/>
      <c r="P174" s="3"/>
      <c r="Q174" s="3"/>
    </row>
    <row r="175" spans="9:17" x14ac:dyDescent="0.3">
      <c r="I175" s="6"/>
      <c r="J175" s="6"/>
      <c r="K175" s="6"/>
      <c r="L175" s="6"/>
      <c r="M175" s="6"/>
      <c r="N175" s="5"/>
      <c r="P175" s="3"/>
      <c r="Q175" s="3"/>
    </row>
    <row r="176" spans="9:17" x14ac:dyDescent="0.3">
      <c r="I176" s="6"/>
      <c r="J176" s="6"/>
      <c r="K176" s="6"/>
      <c r="L176" s="6"/>
      <c r="M176" s="6"/>
      <c r="N176" s="5"/>
      <c r="P176" s="3"/>
      <c r="Q176" s="3"/>
    </row>
    <row r="177" spans="9:17" x14ac:dyDescent="0.3">
      <c r="I177" s="6"/>
      <c r="J177" s="6"/>
      <c r="K177" s="6"/>
      <c r="L177" s="6"/>
      <c r="M177" s="6"/>
      <c r="N177" s="5"/>
      <c r="P177" s="3"/>
      <c r="Q177" s="3"/>
    </row>
    <row r="178" spans="9:17" x14ac:dyDescent="0.3">
      <c r="I178" s="5"/>
      <c r="J178" s="5"/>
      <c r="K178" s="5"/>
      <c r="L178" s="5"/>
      <c r="M178" s="5"/>
      <c r="N178" s="5"/>
      <c r="P178" s="3"/>
      <c r="Q178" s="3"/>
    </row>
    <row r="179" spans="9:17" x14ac:dyDescent="0.3">
      <c r="P179" s="3"/>
      <c r="Q179" s="3"/>
    </row>
    <row r="180" spans="9:17" x14ac:dyDescent="0.3">
      <c r="P180" s="3"/>
      <c r="Q180" s="3"/>
    </row>
    <row r="181" spans="9:17" x14ac:dyDescent="0.3">
      <c r="P181" s="3"/>
      <c r="Q181" s="3"/>
    </row>
    <row r="182" spans="9:17" x14ac:dyDescent="0.3">
      <c r="P182" s="3"/>
      <c r="Q182" s="3"/>
    </row>
    <row r="183" spans="9:17" x14ac:dyDescent="0.3">
      <c r="P183" s="3"/>
      <c r="Q183" s="3"/>
    </row>
    <row r="184" spans="9:17" x14ac:dyDescent="0.3">
      <c r="P184" s="3"/>
      <c r="Q184" s="3"/>
    </row>
    <row r="185" spans="9:17" x14ac:dyDescent="0.3">
      <c r="P185" s="3"/>
      <c r="Q185" s="3"/>
    </row>
    <row r="186" spans="9:17" x14ac:dyDescent="0.3">
      <c r="P186" s="3"/>
      <c r="Q186" s="3"/>
    </row>
    <row r="187" spans="9:17" x14ac:dyDescent="0.3">
      <c r="P187" s="3"/>
      <c r="Q187" s="3"/>
    </row>
    <row r="188" spans="9:17" x14ac:dyDescent="0.3">
      <c r="P188" s="3"/>
      <c r="Q188" s="3"/>
    </row>
    <row r="189" spans="9:17" x14ac:dyDescent="0.3">
      <c r="P189" s="3"/>
      <c r="Q189" s="3"/>
    </row>
    <row r="190" spans="9:17" x14ac:dyDescent="0.3">
      <c r="P190" s="3"/>
      <c r="Q190" s="3"/>
    </row>
    <row r="191" spans="9:17" x14ac:dyDescent="0.3">
      <c r="P191" s="3"/>
      <c r="Q191" s="3"/>
    </row>
    <row r="192" spans="9:17" x14ac:dyDescent="0.3">
      <c r="P192" s="3"/>
      <c r="Q192" s="3"/>
    </row>
    <row r="193" spans="10:17" x14ac:dyDescent="0.3">
      <c r="P193" s="3"/>
      <c r="Q193" s="3"/>
    </row>
    <row r="194" spans="10:17" x14ac:dyDescent="0.3">
      <c r="P194" s="3"/>
      <c r="Q194" s="3"/>
    </row>
    <row r="195" spans="10:17" x14ac:dyDescent="0.3">
      <c r="P195" s="3"/>
      <c r="Q195" s="3"/>
    </row>
    <row r="196" spans="10:17" x14ac:dyDescent="0.3">
      <c r="P196" s="3"/>
      <c r="Q196" s="3"/>
    </row>
    <row r="197" spans="10:17" x14ac:dyDescent="0.3">
      <c r="P197" s="3"/>
      <c r="Q197" s="3"/>
    </row>
    <row r="198" spans="10:17" x14ac:dyDescent="0.3">
      <c r="P198" s="3"/>
      <c r="Q198" s="3"/>
    </row>
    <row r="199" spans="10:17" x14ac:dyDescent="0.3">
      <c r="P199" s="3"/>
      <c r="Q199" s="3"/>
    </row>
    <row r="200" spans="10:17" x14ac:dyDescent="0.3">
      <c r="P200" s="3"/>
      <c r="Q200" s="3"/>
    </row>
    <row r="201" spans="10:17" x14ac:dyDescent="0.3">
      <c r="P201" s="3"/>
      <c r="Q201" s="3"/>
    </row>
    <row r="202" spans="10:17" x14ac:dyDescent="0.3">
      <c r="P202" s="3"/>
      <c r="Q202" s="3"/>
    </row>
    <row r="203" spans="10:17" x14ac:dyDescent="0.3">
      <c r="P203" s="3"/>
      <c r="Q203" s="3"/>
    </row>
    <row r="204" spans="10:17" x14ac:dyDescent="0.3">
      <c r="P204" s="3"/>
      <c r="Q204" s="3"/>
    </row>
    <row r="205" spans="10:17" x14ac:dyDescent="0.3">
      <c r="J205" s="4"/>
      <c r="K205" s="4"/>
      <c r="L205" s="4"/>
      <c r="M205" s="4"/>
      <c r="N205" s="4"/>
      <c r="P205" s="3"/>
      <c r="Q205" s="3"/>
    </row>
    <row r="206" spans="10:17" x14ac:dyDescent="0.3">
      <c r="P206" s="3"/>
      <c r="Q206" s="3"/>
    </row>
    <row r="207" spans="10:17" x14ac:dyDescent="0.3">
      <c r="P207" s="3"/>
      <c r="Q207" s="3"/>
    </row>
    <row r="208" spans="10:17" x14ac:dyDescent="0.3">
      <c r="P208" s="3"/>
      <c r="Q208" s="3"/>
    </row>
    <row r="209" spans="16:17" x14ac:dyDescent="0.3">
      <c r="P209" s="3"/>
      <c r="Q209" s="3"/>
    </row>
    <row r="210" spans="16:17" x14ac:dyDescent="0.3">
      <c r="P210" s="3"/>
      <c r="Q210" s="3"/>
    </row>
    <row r="211" spans="16:17" x14ac:dyDescent="0.3">
      <c r="P211" s="3"/>
      <c r="Q211" s="3"/>
    </row>
    <row r="212" spans="16:17" x14ac:dyDescent="0.3">
      <c r="P212" s="3"/>
      <c r="Q212" s="3"/>
    </row>
    <row r="213" spans="16:17" x14ac:dyDescent="0.3">
      <c r="P213" s="3"/>
      <c r="Q213" s="3"/>
    </row>
    <row r="214" spans="16:17" x14ac:dyDescent="0.3">
      <c r="P214" s="3"/>
      <c r="Q214" s="3"/>
    </row>
    <row r="215" spans="16:17" x14ac:dyDescent="0.3">
      <c r="P215" s="3"/>
      <c r="Q215" s="3"/>
    </row>
    <row r="216" spans="16:17" x14ac:dyDescent="0.3">
      <c r="P216" s="3"/>
      <c r="Q216" s="3"/>
    </row>
    <row r="217" spans="16:17" x14ac:dyDescent="0.3">
      <c r="P217" s="3"/>
      <c r="Q217" s="3"/>
    </row>
    <row r="218" spans="16:17" x14ac:dyDescent="0.3">
      <c r="P218" s="3"/>
      <c r="Q218" s="3"/>
    </row>
    <row r="219" spans="16:17" x14ac:dyDescent="0.3">
      <c r="P219" s="3"/>
      <c r="Q219" s="3"/>
    </row>
    <row r="220" spans="16:17" x14ac:dyDescent="0.3">
      <c r="P220" s="3"/>
      <c r="Q220" s="3"/>
    </row>
    <row r="221" spans="16:17" x14ac:dyDescent="0.3">
      <c r="P221" s="3"/>
      <c r="Q221" s="3"/>
    </row>
    <row r="222" spans="16:17" x14ac:dyDescent="0.3">
      <c r="P222" s="3"/>
      <c r="Q222" s="3"/>
    </row>
    <row r="223" spans="16:17" x14ac:dyDescent="0.3">
      <c r="P223" s="3"/>
      <c r="Q223" s="3"/>
    </row>
    <row r="224" spans="16:17" x14ac:dyDescent="0.3">
      <c r="P224" s="3"/>
      <c r="Q224" s="3"/>
    </row>
    <row r="225" spans="16:17" x14ac:dyDescent="0.3">
      <c r="P225" s="3"/>
      <c r="Q225" s="3"/>
    </row>
    <row r="226" spans="16:17" x14ac:dyDescent="0.3">
      <c r="P226" s="3"/>
      <c r="Q226" s="3"/>
    </row>
    <row r="227" spans="16:17" x14ac:dyDescent="0.3">
      <c r="P227" s="3"/>
      <c r="Q227" s="3"/>
    </row>
    <row r="228" spans="16:17" x14ac:dyDescent="0.3">
      <c r="P228" s="3"/>
      <c r="Q228" s="3"/>
    </row>
    <row r="229" spans="16:17" x14ac:dyDescent="0.3">
      <c r="P229" s="3"/>
      <c r="Q229" s="3"/>
    </row>
    <row r="230" spans="16:17" x14ac:dyDescent="0.3">
      <c r="P230" s="3"/>
      <c r="Q230" s="3"/>
    </row>
    <row r="231" spans="16:17" x14ac:dyDescent="0.3">
      <c r="P231" s="3"/>
      <c r="Q231" s="3"/>
    </row>
    <row r="232" spans="16:17" x14ac:dyDescent="0.3">
      <c r="P232" s="3"/>
      <c r="Q232" s="3"/>
    </row>
    <row r="233" spans="16:17" x14ac:dyDescent="0.3">
      <c r="P233" s="3"/>
      <c r="Q233" s="3"/>
    </row>
    <row r="234" spans="16:17" x14ac:dyDescent="0.3">
      <c r="P234" s="3"/>
      <c r="Q234" s="3"/>
    </row>
    <row r="235" spans="16:17" x14ac:dyDescent="0.3">
      <c r="P235" s="3"/>
      <c r="Q235" s="3"/>
    </row>
    <row r="236" spans="16:17" x14ac:dyDescent="0.3">
      <c r="P236" s="3"/>
      <c r="Q236" s="3"/>
    </row>
    <row r="237" spans="16:17" x14ac:dyDescent="0.3">
      <c r="P237" s="3"/>
      <c r="Q237" s="3"/>
    </row>
    <row r="238" spans="16:17" x14ac:dyDescent="0.3">
      <c r="P238" s="3"/>
      <c r="Q238" s="3"/>
    </row>
    <row r="239" spans="16:17" x14ac:dyDescent="0.3">
      <c r="P239" s="3"/>
      <c r="Q239" s="3"/>
    </row>
    <row r="240" spans="16:17" x14ac:dyDescent="0.3">
      <c r="P240" s="3"/>
      <c r="Q240" s="3"/>
    </row>
    <row r="241" spans="16:17" x14ac:dyDescent="0.3">
      <c r="P241" s="3"/>
      <c r="Q241" s="3"/>
    </row>
    <row r="242" spans="16:17" x14ac:dyDescent="0.3">
      <c r="P242" s="3"/>
      <c r="Q242" s="3"/>
    </row>
    <row r="243" spans="16:17" x14ac:dyDescent="0.3">
      <c r="P243" s="3"/>
      <c r="Q243" s="3"/>
    </row>
    <row r="244" spans="16:17" x14ac:dyDescent="0.3">
      <c r="P244" s="3"/>
      <c r="Q244" s="3"/>
    </row>
    <row r="245" spans="16:17" x14ac:dyDescent="0.3">
      <c r="P245" s="3"/>
      <c r="Q245" s="3"/>
    </row>
    <row r="246" spans="16:17" x14ac:dyDescent="0.3">
      <c r="P246" s="3"/>
      <c r="Q246" s="3"/>
    </row>
    <row r="247" spans="16:17" x14ac:dyDescent="0.3">
      <c r="P247" s="3"/>
      <c r="Q247" s="3"/>
    </row>
    <row r="248" spans="16:17" x14ac:dyDescent="0.3">
      <c r="P248" s="3"/>
      <c r="Q248" s="3"/>
    </row>
    <row r="249" spans="16:17" x14ac:dyDescent="0.3">
      <c r="P249" s="3"/>
      <c r="Q249" s="3"/>
    </row>
    <row r="250" spans="16:17" x14ac:dyDescent="0.3">
      <c r="P250" s="3"/>
      <c r="Q250" s="3"/>
    </row>
    <row r="251" spans="16:17" x14ac:dyDescent="0.3">
      <c r="P251" s="3"/>
      <c r="Q251" s="3"/>
    </row>
    <row r="252" spans="16:17" x14ac:dyDescent="0.3">
      <c r="P252" s="3"/>
      <c r="Q252" s="3"/>
    </row>
    <row r="253" spans="16:17" x14ac:dyDescent="0.3">
      <c r="P253" s="3"/>
      <c r="Q253" s="3"/>
    </row>
    <row r="254" spans="16:17" x14ac:dyDescent="0.3">
      <c r="P254" s="3"/>
      <c r="Q254" s="3"/>
    </row>
    <row r="255" spans="16:17" x14ac:dyDescent="0.3">
      <c r="P255" s="3"/>
      <c r="Q255" s="3"/>
    </row>
    <row r="256" spans="16:17" x14ac:dyDescent="0.3">
      <c r="P256" s="3"/>
      <c r="Q256" s="3"/>
    </row>
    <row r="257" spans="16:17" x14ac:dyDescent="0.3">
      <c r="P257" s="3"/>
      <c r="Q257" s="3"/>
    </row>
    <row r="258" spans="16:17" x14ac:dyDescent="0.3">
      <c r="P258" s="3"/>
      <c r="Q258" s="3"/>
    </row>
    <row r="259" spans="16:17" x14ac:dyDescent="0.3">
      <c r="P259" s="3"/>
      <c r="Q259" s="3"/>
    </row>
    <row r="260" spans="16:17" x14ac:dyDescent="0.3">
      <c r="P260" s="3"/>
      <c r="Q260" s="3"/>
    </row>
    <row r="261" spans="16:17" x14ac:dyDescent="0.3">
      <c r="P261" s="3"/>
      <c r="Q261" s="3"/>
    </row>
    <row r="262" spans="16:17" x14ac:dyDescent="0.3">
      <c r="P262" s="3"/>
      <c r="Q262" s="3"/>
    </row>
    <row r="263" spans="16:17" x14ac:dyDescent="0.3">
      <c r="P263" s="3"/>
      <c r="Q263" s="3"/>
    </row>
    <row r="264" spans="16:17" x14ac:dyDescent="0.3">
      <c r="P264" s="3"/>
      <c r="Q264" s="3"/>
    </row>
    <row r="265" spans="16:17" x14ac:dyDescent="0.3">
      <c r="P265" s="3"/>
      <c r="Q265" s="3"/>
    </row>
    <row r="266" spans="16:17" x14ac:dyDescent="0.3">
      <c r="P266" s="3"/>
      <c r="Q266" s="3"/>
    </row>
    <row r="267" spans="16:17" x14ac:dyDescent="0.3">
      <c r="P267" s="3"/>
      <c r="Q267" s="3"/>
    </row>
    <row r="268" spans="16:17" x14ac:dyDescent="0.3">
      <c r="P268" s="3"/>
      <c r="Q268" s="3"/>
    </row>
    <row r="269" spans="16:17" x14ac:dyDescent="0.3">
      <c r="P269" s="3"/>
      <c r="Q269" s="3"/>
    </row>
    <row r="270" spans="16:17" x14ac:dyDescent="0.3">
      <c r="P270" s="3"/>
      <c r="Q270" s="3"/>
    </row>
    <row r="271" spans="16:17" x14ac:dyDescent="0.3">
      <c r="P271" s="3"/>
      <c r="Q271" s="3"/>
    </row>
    <row r="272" spans="16:17" x14ac:dyDescent="0.3">
      <c r="P272" s="3"/>
      <c r="Q272" s="3"/>
    </row>
    <row r="273" spans="16:17" x14ac:dyDescent="0.3">
      <c r="P273" s="3"/>
      <c r="Q273" s="3"/>
    </row>
    <row r="274" spans="16:17" x14ac:dyDescent="0.3">
      <c r="P274" s="3"/>
      <c r="Q274" s="3"/>
    </row>
    <row r="275" spans="16:17" x14ac:dyDescent="0.3">
      <c r="P275" s="3"/>
      <c r="Q275" s="3"/>
    </row>
    <row r="276" spans="16:17" x14ac:dyDescent="0.3">
      <c r="P276" s="3"/>
      <c r="Q276" s="3"/>
    </row>
    <row r="277" spans="16:17" x14ac:dyDescent="0.3">
      <c r="P277" s="3"/>
      <c r="Q277" s="3"/>
    </row>
    <row r="278" spans="16:17" x14ac:dyDescent="0.3">
      <c r="P278" s="3"/>
      <c r="Q278" s="3"/>
    </row>
    <row r="279" spans="16:17" x14ac:dyDescent="0.3">
      <c r="P279" s="3"/>
      <c r="Q279" s="3"/>
    </row>
    <row r="280" spans="16:17" x14ac:dyDescent="0.3">
      <c r="P280" s="3"/>
      <c r="Q280" s="3"/>
    </row>
    <row r="281" spans="16:17" x14ac:dyDescent="0.3">
      <c r="P281" s="3"/>
      <c r="Q281" s="3"/>
    </row>
    <row r="282" spans="16:17" x14ac:dyDescent="0.3">
      <c r="P282" s="3"/>
      <c r="Q282" s="3"/>
    </row>
    <row r="283" spans="16:17" x14ac:dyDescent="0.3">
      <c r="P283" s="3"/>
      <c r="Q283" s="3"/>
    </row>
    <row r="284" spans="16:17" x14ac:dyDescent="0.3">
      <c r="P284" s="3"/>
      <c r="Q284" s="3"/>
    </row>
    <row r="285" spans="16:17" x14ac:dyDescent="0.3">
      <c r="P285" s="3"/>
      <c r="Q285" s="3"/>
    </row>
    <row r="286" spans="16:17" x14ac:dyDescent="0.3">
      <c r="P286" s="3"/>
      <c r="Q286" s="3"/>
    </row>
    <row r="287" spans="16:17" x14ac:dyDescent="0.3">
      <c r="P287" s="3"/>
      <c r="Q287" s="3"/>
    </row>
    <row r="288" spans="16:17" x14ac:dyDescent="0.3">
      <c r="P288" s="3"/>
      <c r="Q288" s="3"/>
    </row>
    <row r="289" spans="16:17" x14ac:dyDescent="0.3">
      <c r="P289" s="3"/>
      <c r="Q289" s="3"/>
    </row>
    <row r="290" spans="16:17" x14ac:dyDescent="0.3">
      <c r="P290" s="3"/>
      <c r="Q290" s="3"/>
    </row>
    <row r="291" spans="16:17" x14ac:dyDescent="0.3">
      <c r="P291" s="3"/>
      <c r="Q291" s="3"/>
    </row>
    <row r="292" spans="16:17" x14ac:dyDescent="0.3">
      <c r="P292" s="3"/>
      <c r="Q292" s="3"/>
    </row>
    <row r="293" spans="16:17" x14ac:dyDescent="0.3">
      <c r="P293" s="3"/>
      <c r="Q293" s="3"/>
    </row>
    <row r="294" spans="16:17" x14ac:dyDescent="0.3">
      <c r="P294" s="3"/>
      <c r="Q294" s="3"/>
    </row>
    <row r="295" spans="16:17" x14ac:dyDescent="0.3">
      <c r="P295" s="3"/>
      <c r="Q295" s="3"/>
    </row>
    <row r="296" spans="16:17" x14ac:dyDescent="0.3">
      <c r="P296" s="3"/>
      <c r="Q296" s="3"/>
    </row>
    <row r="297" spans="16:17" x14ac:dyDescent="0.3">
      <c r="P297" s="3"/>
      <c r="Q297" s="3"/>
    </row>
    <row r="298" spans="16:17" x14ac:dyDescent="0.3">
      <c r="P298" s="3"/>
      <c r="Q298" s="3"/>
    </row>
    <row r="299" spans="16:17" x14ac:dyDescent="0.3">
      <c r="P299" s="3"/>
      <c r="Q299" s="3"/>
    </row>
    <row r="300" spans="16:17" x14ac:dyDescent="0.3">
      <c r="P300" s="3"/>
      <c r="Q300" s="3"/>
    </row>
    <row r="301" spans="16:17" x14ac:dyDescent="0.3">
      <c r="P301" s="3"/>
      <c r="Q301" s="3"/>
    </row>
    <row r="302" spans="16:17" x14ac:dyDescent="0.3">
      <c r="P302" s="3"/>
      <c r="Q302" s="3"/>
    </row>
    <row r="303" spans="16:17" x14ac:dyDescent="0.3">
      <c r="P303" s="3"/>
      <c r="Q303" s="3"/>
    </row>
    <row r="304" spans="16:17" x14ac:dyDescent="0.3">
      <c r="P304" s="3"/>
      <c r="Q304" s="3"/>
    </row>
    <row r="305" spans="16:17" x14ac:dyDescent="0.3">
      <c r="P305" s="3"/>
      <c r="Q305" s="3"/>
    </row>
    <row r="306" spans="16:17" x14ac:dyDescent="0.3">
      <c r="P306" s="3"/>
      <c r="Q306" s="3"/>
    </row>
    <row r="307" spans="16:17" x14ac:dyDescent="0.3">
      <c r="P307" s="3"/>
      <c r="Q307" s="3"/>
    </row>
    <row r="308" spans="16:17" x14ac:dyDescent="0.3">
      <c r="P308" s="3"/>
      <c r="Q308" s="3"/>
    </row>
    <row r="309" spans="16:17" x14ac:dyDescent="0.3">
      <c r="P309" s="3"/>
      <c r="Q309" s="3"/>
    </row>
    <row r="310" spans="16:17" x14ac:dyDescent="0.3">
      <c r="P310" s="3"/>
      <c r="Q310" s="3"/>
    </row>
    <row r="311" spans="16:17" x14ac:dyDescent="0.3">
      <c r="P311" s="3"/>
      <c r="Q311" s="3"/>
    </row>
    <row r="312" spans="16:17" x14ac:dyDescent="0.3">
      <c r="P312" s="3"/>
      <c r="Q312" s="3"/>
    </row>
    <row r="313" spans="16:17" x14ac:dyDescent="0.3">
      <c r="P313" s="3"/>
      <c r="Q313" s="3"/>
    </row>
    <row r="314" spans="16:17" x14ac:dyDescent="0.3">
      <c r="P314" s="3"/>
      <c r="Q314" s="3"/>
    </row>
    <row r="315" spans="16:17" x14ac:dyDescent="0.3">
      <c r="P315" s="3"/>
      <c r="Q315" s="3"/>
    </row>
    <row r="316" spans="16:17" x14ac:dyDescent="0.3">
      <c r="P316" s="3"/>
      <c r="Q316" s="3"/>
    </row>
    <row r="317" spans="16:17" x14ac:dyDescent="0.3">
      <c r="P317" s="3"/>
      <c r="Q317" s="3"/>
    </row>
    <row r="318" spans="16:17" x14ac:dyDescent="0.3">
      <c r="P318" s="3"/>
      <c r="Q318" s="3"/>
    </row>
    <row r="319" spans="16:17" x14ac:dyDescent="0.3">
      <c r="P319" s="3"/>
      <c r="Q319" s="3"/>
    </row>
    <row r="320" spans="16:17" x14ac:dyDescent="0.3">
      <c r="P320" s="3"/>
      <c r="Q320" s="3"/>
    </row>
    <row r="321" spans="16:17" x14ac:dyDescent="0.3">
      <c r="P321" s="3"/>
      <c r="Q321" s="3"/>
    </row>
    <row r="322" spans="16:17" x14ac:dyDescent="0.3">
      <c r="P322" s="3"/>
      <c r="Q322" s="3"/>
    </row>
    <row r="323" spans="16:17" x14ac:dyDescent="0.3">
      <c r="P323" s="3"/>
      <c r="Q323" s="3"/>
    </row>
    <row r="324" spans="16:17" x14ac:dyDescent="0.3">
      <c r="P324" s="3"/>
      <c r="Q324" s="3"/>
    </row>
    <row r="325" spans="16:17" x14ac:dyDescent="0.3">
      <c r="P325" s="3"/>
      <c r="Q325" s="3"/>
    </row>
    <row r="326" spans="16:17" x14ac:dyDescent="0.3">
      <c r="P326" s="3"/>
      <c r="Q326" s="3"/>
    </row>
    <row r="327" spans="16:17" x14ac:dyDescent="0.3">
      <c r="P327" s="3"/>
      <c r="Q327" s="3"/>
    </row>
    <row r="328" spans="16:17" x14ac:dyDescent="0.3">
      <c r="P328" s="3"/>
      <c r="Q328" s="3"/>
    </row>
    <row r="329" spans="16:17" x14ac:dyDescent="0.3">
      <c r="P329" s="3"/>
      <c r="Q329" s="3"/>
    </row>
    <row r="330" spans="16:17" x14ac:dyDescent="0.3">
      <c r="P330" s="3"/>
      <c r="Q330" s="3"/>
    </row>
    <row r="331" spans="16:17" x14ac:dyDescent="0.3">
      <c r="P331" s="3"/>
      <c r="Q331" s="3"/>
    </row>
    <row r="332" spans="16:17" x14ac:dyDescent="0.3">
      <c r="P332" s="3"/>
      <c r="Q332" s="3"/>
    </row>
    <row r="333" spans="16:17" x14ac:dyDescent="0.3">
      <c r="P333" s="3"/>
      <c r="Q333" s="3"/>
    </row>
    <row r="334" spans="16:17" x14ac:dyDescent="0.3">
      <c r="P334" s="3"/>
      <c r="Q334" s="3"/>
    </row>
    <row r="335" spans="16:17" x14ac:dyDescent="0.3">
      <c r="P335" s="3"/>
      <c r="Q335" s="3"/>
    </row>
    <row r="336" spans="16:17" x14ac:dyDescent="0.3">
      <c r="P336" s="3"/>
      <c r="Q336" s="3"/>
    </row>
    <row r="337" spans="16:17" x14ac:dyDescent="0.3">
      <c r="P337" s="3"/>
      <c r="Q337" s="3"/>
    </row>
    <row r="338" spans="16:17" x14ac:dyDescent="0.3">
      <c r="P338" s="3"/>
      <c r="Q338" s="3"/>
    </row>
    <row r="339" spans="16:17" x14ac:dyDescent="0.3">
      <c r="P339" s="3"/>
      <c r="Q339" s="3"/>
    </row>
    <row r="340" spans="16:17" x14ac:dyDescent="0.3">
      <c r="P340" s="3"/>
      <c r="Q340" s="3"/>
    </row>
    <row r="341" spans="16:17" x14ac:dyDescent="0.3">
      <c r="P341" s="3"/>
      <c r="Q341" s="3"/>
    </row>
    <row r="342" spans="16:17" x14ac:dyDescent="0.3">
      <c r="P342" s="3"/>
      <c r="Q342" s="3"/>
    </row>
    <row r="343" spans="16:17" x14ac:dyDescent="0.3">
      <c r="P343" s="3"/>
      <c r="Q343" s="3"/>
    </row>
    <row r="344" spans="16:17" x14ac:dyDescent="0.3">
      <c r="P344" s="3"/>
      <c r="Q344" s="3"/>
    </row>
    <row r="345" spans="16:17" x14ac:dyDescent="0.3">
      <c r="P345" s="3"/>
      <c r="Q345" s="3"/>
    </row>
    <row r="346" spans="16:17" x14ac:dyDescent="0.3">
      <c r="P346" s="3"/>
      <c r="Q346" s="3"/>
    </row>
    <row r="347" spans="16:17" x14ac:dyDescent="0.3">
      <c r="P347" s="3"/>
      <c r="Q347" s="3"/>
    </row>
    <row r="348" spans="16:17" x14ac:dyDescent="0.3">
      <c r="P348" s="3"/>
      <c r="Q348" s="3"/>
    </row>
    <row r="349" spans="16:17" x14ac:dyDescent="0.3">
      <c r="P349" s="3"/>
      <c r="Q349" s="3"/>
    </row>
    <row r="350" spans="16:17" x14ac:dyDescent="0.3">
      <c r="P350" s="3"/>
      <c r="Q350" s="3"/>
    </row>
    <row r="351" spans="16:17" x14ac:dyDescent="0.3">
      <c r="P351" s="3"/>
      <c r="Q351" s="3"/>
    </row>
    <row r="352" spans="16:17" x14ac:dyDescent="0.3">
      <c r="P352" s="3"/>
      <c r="Q352" s="3"/>
    </row>
    <row r="353" spans="16:17" x14ac:dyDescent="0.3">
      <c r="P353" s="3"/>
      <c r="Q353" s="3"/>
    </row>
    <row r="354" spans="16:17" x14ac:dyDescent="0.3">
      <c r="P354" s="3"/>
      <c r="Q354" s="3"/>
    </row>
    <row r="355" spans="16:17" x14ac:dyDescent="0.3">
      <c r="P355" s="3"/>
      <c r="Q355" s="3"/>
    </row>
    <row r="356" spans="16:17" x14ac:dyDescent="0.3">
      <c r="P356" s="3"/>
      <c r="Q356" s="3"/>
    </row>
    <row r="357" spans="16:17" x14ac:dyDescent="0.3">
      <c r="P357" s="3"/>
      <c r="Q357" s="3"/>
    </row>
    <row r="358" spans="16:17" x14ac:dyDescent="0.3">
      <c r="P358" s="3"/>
      <c r="Q358" s="3"/>
    </row>
    <row r="359" spans="16:17" x14ac:dyDescent="0.3">
      <c r="P359" s="3"/>
      <c r="Q359" s="3"/>
    </row>
    <row r="360" spans="16:17" x14ac:dyDescent="0.3">
      <c r="P360" s="3"/>
      <c r="Q360" s="3"/>
    </row>
    <row r="361" spans="16:17" x14ac:dyDescent="0.3">
      <c r="P361" s="3"/>
      <c r="Q361" s="3"/>
    </row>
    <row r="362" spans="16:17" x14ac:dyDescent="0.3">
      <c r="P362" s="3"/>
      <c r="Q362" s="3"/>
    </row>
    <row r="363" spans="16:17" x14ac:dyDescent="0.3">
      <c r="P363" s="3"/>
      <c r="Q363" s="3"/>
    </row>
    <row r="364" spans="16:17" x14ac:dyDescent="0.3">
      <c r="P364" s="3"/>
      <c r="Q364" s="3"/>
    </row>
    <row r="365" spans="16:17" x14ac:dyDescent="0.3">
      <c r="P365" s="3"/>
      <c r="Q365" s="3"/>
    </row>
    <row r="366" spans="16:17" x14ac:dyDescent="0.3">
      <c r="P366" s="3"/>
      <c r="Q366" s="3"/>
    </row>
    <row r="367" spans="16:17" x14ac:dyDescent="0.3">
      <c r="P367" s="3"/>
      <c r="Q367" s="3"/>
    </row>
    <row r="368" spans="16:17" x14ac:dyDescent="0.3">
      <c r="P368" s="3"/>
      <c r="Q368" s="3"/>
    </row>
    <row r="369" spans="16:17" x14ac:dyDescent="0.3">
      <c r="P369" s="3"/>
      <c r="Q369" s="3"/>
    </row>
    <row r="370" spans="16:17" x14ac:dyDescent="0.3">
      <c r="P370" s="3"/>
      <c r="Q370" s="3"/>
    </row>
    <row r="371" spans="16:17" x14ac:dyDescent="0.3">
      <c r="P371" s="3"/>
      <c r="Q371" s="3"/>
    </row>
    <row r="372" spans="16:17" x14ac:dyDescent="0.3">
      <c r="P372" s="3"/>
      <c r="Q372" s="3"/>
    </row>
    <row r="373" spans="16:17" x14ac:dyDescent="0.3">
      <c r="P373" s="3"/>
      <c r="Q373" s="3"/>
    </row>
    <row r="374" spans="16:17" x14ac:dyDescent="0.3">
      <c r="P374" s="3"/>
      <c r="Q374" s="3"/>
    </row>
    <row r="375" spans="16:17" x14ac:dyDescent="0.3">
      <c r="P375" s="3"/>
      <c r="Q375" s="3"/>
    </row>
    <row r="376" spans="16:17" x14ac:dyDescent="0.3">
      <c r="P376" s="3"/>
      <c r="Q376" s="3"/>
    </row>
    <row r="377" spans="16:17" x14ac:dyDescent="0.3">
      <c r="P377" s="3"/>
      <c r="Q377" s="3"/>
    </row>
    <row r="378" spans="16:17" x14ac:dyDescent="0.3">
      <c r="P378" s="3"/>
      <c r="Q378" s="3"/>
    </row>
    <row r="379" spans="16:17" x14ac:dyDescent="0.3">
      <c r="P379" s="3"/>
      <c r="Q379" s="3"/>
    </row>
    <row r="380" spans="16:17" x14ac:dyDescent="0.3">
      <c r="P380" s="3"/>
      <c r="Q380" s="3"/>
    </row>
    <row r="381" spans="16:17" x14ac:dyDescent="0.3">
      <c r="P381" s="3"/>
      <c r="Q381" s="3"/>
    </row>
    <row r="382" spans="16:17" x14ac:dyDescent="0.3">
      <c r="P382" s="3"/>
      <c r="Q382" s="3"/>
    </row>
    <row r="383" spans="16:17" x14ac:dyDescent="0.3">
      <c r="P383" s="3"/>
      <c r="Q383" s="3"/>
    </row>
    <row r="384" spans="16:17" x14ac:dyDescent="0.3">
      <c r="P384" s="3"/>
      <c r="Q384" s="3"/>
    </row>
    <row r="385" spans="16:17" x14ac:dyDescent="0.3">
      <c r="P385" s="3"/>
      <c r="Q385" s="3"/>
    </row>
    <row r="386" spans="16:17" x14ac:dyDescent="0.3">
      <c r="P386" s="3"/>
      <c r="Q386" s="3"/>
    </row>
    <row r="387" spans="16:17" x14ac:dyDescent="0.3">
      <c r="P387" s="3"/>
      <c r="Q387" s="3"/>
    </row>
    <row r="388" spans="16:17" x14ac:dyDescent="0.3">
      <c r="P388" s="3"/>
      <c r="Q388" s="3"/>
    </row>
    <row r="389" spans="16:17" x14ac:dyDescent="0.3">
      <c r="P389" s="3"/>
      <c r="Q389" s="3"/>
    </row>
    <row r="390" spans="16:17" x14ac:dyDescent="0.3">
      <c r="P390" s="3"/>
      <c r="Q390" s="3"/>
    </row>
    <row r="391" spans="16:17" x14ac:dyDescent="0.3">
      <c r="P391" s="3"/>
      <c r="Q391" s="3"/>
    </row>
    <row r="392" spans="16:17" x14ac:dyDescent="0.3">
      <c r="P392" s="3"/>
      <c r="Q392" s="3"/>
    </row>
    <row r="393" spans="16:17" x14ac:dyDescent="0.3">
      <c r="P393" s="3"/>
      <c r="Q393" s="3"/>
    </row>
    <row r="394" spans="16:17" x14ac:dyDescent="0.3">
      <c r="P394" s="3"/>
      <c r="Q394" s="3"/>
    </row>
    <row r="395" spans="16:17" x14ac:dyDescent="0.3">
      <c r="P395" s="3"/>
      <c r="Q395" s="3"/>
    </row>
    <row r="396" spans="16:17" x14ac:dyDescent="0.3">
      <c r="P396" s="3"/>
      <c r="Q396" s="3"/>
    </row>
    <row r="397" spans="16:17" x14ac:dyDescent="0.3">
      <c r="P397" s="3"/>
      <c r="Q397" s="3"/>
    </row>
    <row r="398" spans="16:17" x14ac:dyDescent="0.3">
      <c r="P398" s="3"/>
      <c r="Q398" s="3"/>
    </row>
    <row r="399" spans="16:17" x14ac:dyDescent="0.3">
      <c r="P399" s="3"/>
      <c r="Q399" s="3"/>
    </row>
    <row r="400" spans="16:17" x14ac:dyDescent="0.3">
      <c r="P400" s="3"/>
      <c r="Q400" s="3"/>
    </row>
    <row r="401" spans="16:17" x14ac:dyDescent="0.3">
      <c r="P401" s="3"/>
      <c r="Q401" s="3"/>
    </row>
    <row r="402" spans="16:17" x14ac:dyDescent="0.3">
      <c r="P402" s="3"/>
      <c r="Q402" s="3"/>
    </row>
    <row r="403" spans="16:17" x14ac:dyDescent="0.3">
      <c r="P403" s="3"/>
      <c r="Q403" s="3"/>
    </row>
    <row r="404" spans="16:17" x14ac:dyDescent="0.3">
      <c r="P404" s="3"/>
      <c r="Q404" s="3"/>
    </row>
    <row r="405" spans="16:17" x14ac:dyDescent="0.3">
      <c r="P405" s="3"/>
      <c r="Q405" s="3"/>
    </row>
    <row r="406" spans="16:17" x14ac:dyDescent="0.3">
      <c r="P406" s="3"/>
      <c r="Q406" s="3"/>
    </row>
    <row r="407" spans="16:17" x14ac:dyDescent="0.3">
      <c r="P407" s="3"/>
      <c r="Q407" s="3"/>
    </row>
    <row r="408" spans="16:17" x14ac:dyDescent="0.3">
      <c r="P408" s="3"/>
      <c r="Q408" s="3"/>
    </row>
    <row r="409" spans="16:17" x14ac:dyDescent="0.3">
      <c r="P409" s="3"/>
      <c r="Q409" s="3"/>
    </row>
    <row r="410" spans="16:17" x14ac:dyDescent="0.3">
      <c r="P410" s="3"/>
      <c r="Q410" s="3"/>
    </row>
    <row r="411" spans="16:17" x14ac:dyDescent="0.3">
      <c r="P411" s="3"/>
      <c r="Q411" s="3"/>
    </row>
    <row r="412" spans="16:17" x14ac:dyDescent="0.3">
      <c r="P412" s="3"/>
      <c r="Q412" s="3"/>
    </row>
    <row r="413" spans="16:17" x14ac:dyDescent="0.3">
      <c r="P413" s="3"/>
      <c r="Q413" s="3"/>
    </row>
    <row r="414" spans="16:17" x14ac:dyDescent="0.3">
      <c r="P414" s="3"/>
      <c r="Q414" s="3"/>
    </row>
    <row r="415" spans="16:17" x14ac:dyDescent="0.3">
      <c r="P415" s="3"/>
      <c r="Q415" s="3"/>
    </row>
    <row r="416" spans="16:17" x14ac:dyDescent="0.3">
      <c r="P416" s="3"/>
      <c r="Q416" s="3"/>
    </row>
    <row r="417" spans="16:17" x14ac:dyDescent="0.3">
      <c r="P417" s="3"/>
      <c r="Q417" s="3"/>
    </row>
    <row r="418" spans="16:17" x14ac:dyDescent="0.3">
      <c r="P418" s="3"/>
      <c r="Q418" s="3"/>
    </row>
    <row r="419" spans="16:17" x14ac:dyDescent="0.3">
      <c r="P419" s="3"/>
      <c r="Q419" s="3"/>
    </row>
    <row r="420" spans="16:17" x14ac:dyDescent="0.3">
      <c r="P420" s="3"/>
      <c r="Q420" s="3"/>
    </row>
    <row r="421" spans="16:17" x14ac:dyDescent="0.3">
      <c r="P421" s="3"/>
      <c r="Q421" s="3"/>
    </row>
    <row r="422" spans="16:17" x14ac:dyDescent="0.3">
      <c r="P422" s="3"/>
      <c r="Q422" s="3"/>
    </row>
    <row r="423" spans="16:17" x14ac:dyDescent="0.3">
      <c r="P423" s="3"/>
      <c r="Q423" s="3"/>
    </row>
    <row r="424" spans="16:17" x14ac:dyDescent="0.3">
      <c r="P424" s="3"/>
      <c r="Q424" s="3"/>
    </row>
    <row r="425" spans="16:17" x14ac:dyDescent="0.3">
      <c r="P425" s="3"/>
      <c r="Q425" s="3"/>
    </row>
    <row r="426" spans="16:17" x14ac:dyDescent="0.3">
      <c r="P426" s="3"/>
      <c r="Q426" s="3"/>
    </row>
    <row r="427" spans="16:17" x14ac:dyDescent="0.3">
      <c r="P427" s="3"/>
      <c r="Q427" s="3"/>
    </row>
    <row r="428" spans="16:17" x14ac:dyDescent="0.3">
      <c r="P428" s="3"/>
      <c r="Q428" s="3"/>
    </row>
    <row r="429" spans="16:17" x14ac:dyDescent="0.3">
      <c r="P429" s="3"/>
      <c r="Q429" s="3"/>
    </row>
    <row r="430" spans="16:17" x14ac:dyDescent="0.3">
      <c r="P430" s="3"/>
      <c r="Q430" s="3"/>
    </row>
    <row r="431" spans="16:17" x14ac:dyDescent="0.3">
      <c r="P431" s="3"/>
      <c r="Q431" s="3"/>
    </row>
    <row r="432" spans="16:17" x14ac:dyDescent="0.3">
      <c r="P432" s="3"/>
      <c r="Q432" s="3"/>
    </row>
    <row r="433" spans="16:17" x14ac:dyDescent="0.3">
      <c r="P433" s="3"/>
      <c r="Q433" s="3"/>
    </row>
    <row r="434" spans="16:17" x14ac:dyDescent="0.3">
      <c r="P434" s="3"/>
      <c r="Q434" s="3"/>
    </row>
    <row r="435" spans="16:17" x14ac:dyDescent="0.3">
      <c r="P435" s="3"/>
      <c r="Q435" s="3"/>
    </row>
    <row r="436" spans="16:17" x14ac:dyDescent="0.3">
      <c r="P436" s="3"/>
      <c r="Q436" s="3"/>
    </row>
    <row r="437" spans="16:17" x14ac:dyDescent="0.3">
      <c r="P437" s="3"/>
      <c r="Q437" s="3"/>
    </row>
    <row r="438" spans="16:17" x14ac:dyDescent="0.3">
      <c r="P438" s="3"/>
      <c r="Q438" s="3"/>
    </row>
    <row r="439" spans="16:17" x14ac:dyDescent="0.3">
      <c r="P439" s="3"/>
      <c r="Q439" s="3"/>
    </row>
    <row r="440" spans="16:17" x14ac:dyDescent="0.3">
      <c r="P440" s="3"/>
      <c r="Q440" s="3"/>
    </row>
    <row r="441" spans="16:17" x14ac:dyDescent="0.3">
      <c r="P441" s="3"/>
      <c r="Q441" s="3"/>
    </row>
    <row r="442" spans="16:17" x14ac:dyDescent="0.3">
      <c r="P442" s="3"/>
      <c r="Q442" s="3"/>
    </row>
    <row r="443" spans="16:17" x14ac:dyDescent="0.3">
      <c r="P443" s="3"/>
      <c r="Q443" s="3"/>
    </row>
    <row r="444" spans="16:17" x14ac:dyDescent="0.3">
      <c r="P444" s="3"/>
      <c r="Q444" s="3"/>
    </row>
    <row r="445" spans="16:17" x14ac:dyDescent="0.3">
      <c r="P445" s="3"/>
      <c r="Q445" s="3"/>
    </row>
    <row r="446" spans="16:17" x14ac:dyDescent="0.3">
      <c r="P446" s="3"/>
      <c r="Q446" s="3"/>
    </row>
    <row r="447" spans="16:17" x14ac:dyDescent="0.3">
      <c r="P447" s="3"/>
      <c r="Q447" s="3"/>
    </row>
    <row r="448" spans="16:17" x14ac:dyDescent="0.3">
      <c r="P448" s="3"/>
      <c r="Q448" s="3"/>
    </row>
    <row r="449" spans="16:17" x14ac:dyDescent="0.3">
      <c r="P449" s="3"/>
      <c r="Q449" s="3"/>
    </row>
    <row r="450" spans="16:17" x14ac:dyDescent="0.3">
      <c r="P450" s="3"/>
      <c r="Q450" s="3"/>
    </row>
    <row r="451" spans="16:17" x14ac:dyDescent="0.3">
      <c r="P451" s="3"/>
      <c r="Q451" s="3"/>
    </row>
    <row r="452" spans="16:17" x14ac:dyDescent="0.3">
      <c r="P452" s="3"/>
      <c r="Q452" s="3"/>
    </row>
    <row r="453" spans="16:17" x14ac:dyDescent="0.3">
      <c r="P453" s="3"/>
      <c r="Q453" s="3"/>
    </row>
    <row r="454" spans="16:17" x14ac:dyDescent="0.3">
      <c r="P454" s="3"/>
      <c r="Q454" s="3"/>
    </row>
    <row r="455" spans="16:17" x14ac:dyDescent="0.3">
      <c r="P455" s="3"/>
      <c r="Q455" s="3"/>
    </row>
    <row r="456" spans="16:17" x14ac:dyDescent="0.3">
      <c r="P456" s="3"/>
      <c r="Q456" s="3"/>
    </row>
    <row r="457" spans="16:17" x14ac:dyDescent="0.3">
      <c r="P457" s="3"/>
      <c r="Q457" s="3"/>
    </row>
    <row r="458" spans="16:17" x14ac:dyDescent="0.3">
      <c r="P458" s="3"/>
      <c r="Q458" s="3"/>
    </row>
    <row r="459" spans="16:17" x14ac:dyDescent="0.3">
      <c r="P459" s="3"/>
      <c r="Q459" s="3"/>
    </row>
    <row r="460" spans="16:17" x14ac:dyDescent="0.3">
      <c r="P460" s="3"/>
      <c r="Q460" s="3"/>
    </row>
    <row r="461" spans="16:17" x14ac:dyDescent="0.3">
      <c r="P461" s="3"/>
      <c r="Q461" s="3"/>
    </row>
    <row r="462" spans="16:17" x14ac:dyDescent="0.3">
      <c r="P462" s="3"/>
      <c r="Q462" s="3"/>
    </row>
    <row r="463" spans="16:17" x14ac:dyDescent="0.3">
      <c r="P463" s="3"/>
      <c r="Q463" s="3"/>
    </row>
    <row r="464" spans="16:17" x14ac:dyDescent="0.3">
      <c r="P464" s="3"/>
      <c r="Q464" s="3"/>
    </row>
    <row r="465" spans="16:17" x14ac:dyDescent="0.3">
      <c r="P465" s="3"/>
      <c r="Q465" s="3"/>
    </row>
    <row r="466" spans="16:17" x14ac:dyDescent="0.3">
      <c r="P466" s="3"/>
      <c r="Q466" s="3"/>
    </row>
    <row r="467" spans="16:17" x14ac:dyDescent="0.3">
      <c r="P467" s="3"/>
      <c r="Q467" s="3"/>
    </row>
    <row r="468" spans="16:17" x14ac:dyDescent="0.3">
      <c r="P468" s="3"/>
      <c r="Q468" s="3"/>
    </row>
    <row r="469" spans="16:17" x14ac:dyDescent="0.3">
      <c r="P469" s="3"/>
      <c r="Q469" s="3"/>
    </row>
    <row r="470" spans="16:17" x14ac:dyDescent="0.3">
      <c r="P470" s="3"/>
      <c r="Q470" s="3"/>
    </row>
    <row r="471" spans="16:17" x14ac:dyDescent="0.3">
      <c r="P471" s="3"/>
      <c r="Q471" s="3"/>
    </row>
    <row r="472" spans="16:17" x14ac:dyDescent="0.3">
      <c r="P472" s="3"/>
      <c r="Q472" s="3"/>
    </row>
    <row r="473" spans="16:17" x14ac:dyDescent="0.3">
      <c r="P473" s="3"/>
      <c r="Q473" s="3"/>
    </row>
    <row r="474" spans="16:17" x14ac:dyDescent="0.3">
      <c r="P474" s="3"/>
      <c r="Q474" s="3"/>
    </row>
    <row r="475" spans="16:17" x14ac:dyDescent="0.3">
      <c r="P475" s="3"/>
      <c r="Q475" s="3"/>
    </row>
    <row r="476" spans="16:17" x14ac:dyDescent="0.3">
      <c r="P476" s="3"/>
      <c r="Q476" s="3"/>
    </row>
    <row r="477" spans="16:17" x14ac:dyDescent="0.3">
      <c r="P477" s="3"/>
      <c r="Q477" s="3"/>
    </row>
    <row r="478" spans="16:17" x14ac:dyDescent="0.3">
      <c r="P478" s="3"/>
      <c r="Q478" s="3"/>
    </row>
    <row r="479" spans="16:17" x14ac:dyDescent="0.3">
      <c r="P479" s="3"/>
      <c r="Q479" s="3"/>
    </row>
    <row r="480" spans="16:17" x14ac:dyDescent="0.3">
      <c r="P480" s="3"/>
      <c r="Q480" s="3"/>
    </row>
    <row r="481" spans="16:17" x14ac:dyDescent="0.3">
      <c r="P481" s="3"/>
      <c r="Q481" s="3"/>
    </row>
    <row r="482" spans="16:17" x14ac:dyDescent="0.3">
      <c r="P482" s="3"/>
      <c r="Q482" s="3"/>
    </row>
    <row r="483" spans="16:17" x14ac:dyDescent="0.3">
      <c r="P483" s="3"/>
      <c r="Q483" s="3"/>
    </row>
    <row r="484" spans="16:17" x14ac:dyDescent="0.3">
      <c r="P484" s="3"/>
      <c r="Q484" s="3"/>
    </row>
    <row r="485" spans="16:17" x14ac:dyDescent="0.3">
      <c r="P485" s="3"/>
      <c r="Q485" s="3"/>
    </row>
    <row r="486" spans="16:17" x14ac:dyDescent="0.3">
      <c r="P486" s="3"/>
      <c r="Q486" s="3"/>
    </row>
    <row r="487" spans="16:17" x14ac:dyDescent="0.3">
      <c r="P487" s="3"/>
      <c r="Q487" s="3"/>
    </row>
    <row r="488" spans="16:17" x14ac:dyDescent="0.3">
      <c r="P488" s="3"/>
      <c r="Q488" s="3"/>
    </row>
    <row r="489" spans="16:17" x14ac:dyDescent="0.3">
      <c r="P489" s="3"/>
      <c r="Q489" s="3"/>
    </row>
    <row r="490" spans="16:17" x14ac:dyDescent="0.3">
      <c r="P490" s="3"/>
      <c r="Q490" s="3"/>
    </row>
    <row r="491" spans="16:17" x14ac:dyDescent="0.3">
      <c r="P491" s="3"/>
      <c r="Q491" s="3"/>
    </row>
    <row r="492" spans="16:17" x14ac:dyDescent="0.3">
      <c r="P492" s="3"/>
      <c r="Q492" s="3"/>
    </row>
    <row r="493" spans="16:17" x14ac:dyDescent="0.3">
      <c r="P493" s="3"/>
      <c r="Q493" s="3"/>
    </row>
    <row r="494" spans="16:17" x14ac:dyDescent="0.3">
      <c r="P494" s="3"/>
      <c r="Q494" s="3"/>
    </row>
    <row r="495" spans="16:17" x14ac:dyDescent="0.3">
      <c r="P495" s="3"/>
      <c r="Q495" s="3"/>
    </row>
    <row r="496" spans="16:17" x14ac:dyDescent="0.3">
      <c r="P496" s="3"/>
      <c r="Q496" s="3"/>
    </row>
    <row r="497" spans="16:17" x14ac:dyDescent="0.3">
      <c r="P497" s="3"/>
      <c r="Q497" s="3"/>
    </row>
    <row r="498" spans="16:17" x14ac:dyDescent="0.3">
      <c r="P498" s="3"/>
      <c r="Q498" s="3"/>
    </row>
    <row r="499" spans="16:17" x14ac:dyDescent="0.3">
      <c r="P499" s="3"/>
      <c r="Q499" s="3"/>
    </row>
    <row r="500" spans="16:17" x14ac:dyDescent="0.3">
      <c r="P500" s="3"/>
      <c r="Q500" s="3"/>
    </row>
    <row r="501" spans="16:17" x14ac:dyDescent="0.3">
      <c r="P501" s="3"/>
      <c r="Q501" s="3"/>
    </row>
    <row r="502" spans="16:17" x14ac:dyDescent="0.3">
      <c r="P502" s="3"/>
      <c r="Q502" s="3"/>
    </row>
    <row r="503" spans="16:17" x14ac:dyDescent="0.3">
      <c r="P503" s="3"/>
      <c r="Q503" s="3"/>
    </row>
    <row r="504" spans="16:17" x14ac:dyDescent="0.3">
      <c r="P504" s="3"/>
      <c r="Q504" s="3"/>
    </row>
    <row r="505" spans="16:17" x14ac:dyDescent="0.3">
      <c r="P505" s="3"/>
      <c r="Q505" s="3"/>
    </row>
    <row r="506" spans="16:17" x14ac:dyDescent="0.3">
      <c r="P506" s="3"/>
      <c r="Q506" s="3"/>
    </row>
    <row r="507" spans="16:17" x14ac:dyDescent="0.3">
      <c r="P507" s="3"/>
      <c r="Q507" s="3"/>
    </row>
    <row r="508" spans="16:17" x14ac:dyDescent="0.3">
      <c r="P508" s="3"/>
      <c r="Q508" s="3"/>
    </row>
    <row r="509" spans="16:17" x14ac:dyDescent="0.3">
      <c r="P509" s="3"/>
      <c r="Q509" s="3"/>
    </row>
    <row r="510" spans="16:17" x14ac:dyDescent="0.3">
      <c r="P510" s="3"/>
      <c r="Q510" s="3"/>
    </row>
    <row r="511" spans="16:17" x14ac:dyDescent="0.3">
      <c r="P511" s="3"/>
      <c r="Q511" s="3"/>
    </row>
    <row r="512" spans="16:17" x14ac:dyDescent="0.3">
      <c r="P512" s="3"/>
      <c r="Q512" s="3"/>
    </row>
    <row r="513" spans="16:17" x14ac:dyDescent="0.3">
      <c r="P513" s="3"/>
      <c r="Q513" s="3"/>
    </row>
    <row r="514" spans="16:17" x14ac:dyDescent="0.3">
      <c r="P514" s="3"/>
      <c r="Q514" s="3"/>
    </row>
    <row r="515" spans="16:17" x14ac:dyDescent="0.3">
      <c r="P515" s="3"/>
      <c r="Q515" s="3"/>
    </row>
    <row r="516" spans="16:17" x14ac:dyDescent="0.3">
      <c r="P516" s="3"/>
      <c r="Q516" s="3"/>
    </row>
    <row r="517" spans="16:17" x14ac:dyDescent="0.3">
      <c r="P517" s="3"/>
      <c r="Q517" s="3"/>
    </row>
    <row r="518" spans="16:17" x14ac:dyDescent="0.3">
      <c r="P518" s="3"/>
      <c r="Q518" s="3"/>
    </row>
    <row r="519" spans="16:17" x14ac:dyDescent="0.3">
      <c r="P519" s="3"/>
      <c r="Q519" s="3"/>
    </row>
    <row r="520" spans="16:17" x14ac:dyDescent="0.3">
      <c r="P520" s="3"/>
      <c r="Q520" s="3"/>
    </row>
    <row r="521" spans="16:17" x14ac:dyDescent="0.3">
      <c r="P521" s="3"/>
      <c r="Q521" s="3"/>
    </row>
    <row r="522" spans="16:17" x14ac:dyDescent="0.3">
      <c r="P522" s="3"/>
      <c r="Q522" s="3"/>
    </row>
    <row r="523" spans="16:17" x14ac:dyDescent="0.3">
      <c r="P523" s="3"/>
      <c r="Q523" s="3"/>
    </row>
    <row r="524" spans="16:17" x14ac:dyDescent="0.3">
      <c r="P524" s="3"/>
      <c r="Q524" s="3"/>
    </row>
    <row r="525" spans="16:17" x14ac:dyDescent="0.3">
      <c r="P525" s="3"/>
      <c r="Q525" s="3"/>
    </row>
    <row r="526" spans="16:17" x14ac:dyDescent="0.3">
      <c r="P526" s="3"/>
      <c r="Q526" s="3"/>
    </row>
    <row r="527" spans="16:17" x14ac:dyDescent="0.3">
      <c r="P527" s="3"/>
      <c r="Q527" s="3"/>
    </row>
    <row r="528" spans="16:17" x14ac:dyDescent="0.3">
      <c r="P528" s="3"/>
      <c r="Q528" s="3"/>
    </row>
    <row r="529" spans="16:17" x14ac:dyDescent="0.3">
      <c r="P529" s="3"/>
      <c r="Q529" s="3"/>
    </row>
    <row r="530" spans="16:17" x14ac:dyDescent="0.3">
      <c r="P530" s="3"/>
      <c r="Q530" s="3"/>
    </row>
    <row r="531" spans="16:17" x14ac:dyDescent="0.3">
      <c r="P531" s="3"/>
      <c r="Q531" s="3"/>
    </row>
    <row r="532" spans="16:17" x14ac:dyDescent="0.3">
      <c r="P532" s="3"/>
      <c r="Q532" s="3"/>
    </row>
    <row r="533" spans="16:17" x14ac:dyDescent="0.3">
      <c r="P533" s="3"/>
      <c r="Q533" s="3"/>
    </row>
    <row r="534" spans="16:17" x14ac:dyDescent="0.3">
      <c r="P534" s="3"/>
      <c r="Q534" s="3"/>
    </row>
    <row r="535" spans="16:17" x14ac:dyDescent="0.3">
      <c r="P535" s="3"/>
      <c r="Q535" s="3"/>
    </row>
    <row r="536" spans="16:17" x14ac:dyDescent="0.3">
      <c r="P536" s="3"/>
      <c r="Q536" s="3"/>
    </row>
    <row r="537" spans="16:17" x14ac:dyDescent="0.3">
      <c r="P537" s="3"/>
      <c r="Q537" s="3"/>
    </row>
    <row r="538" spans="16:17" x14ac:dyDescent="0.3">
      <c r="P538" s="3"/>
      <c r="Q538" s="3"/>
    </row>
    <row r="539" spans="16:17" x14ac:dyDescent="0.3">
      <c r="P539" s="3"/>
      <c r="Q539" s="3"/>
    </row>
    <row r="540" spans="16:17" x14ac:dyDescent="0.3">
      <c r="P540" s="3"/>
      <c r="Q540" s="3"/>
    </row>
    <row r="541" spans="16:17" x14ac:dyDescent="0.3">
      <c r="P541" s="3"/>
      <c r="Q541" s="3"/>
    </row>
    <row r="542" spans="16:17" x14ac:dyDescent="0.3">
      <c r="P542" s="3"/>
      <c r="Q542" s="3"/>
    </row>
    <row r="543" spans="16:17" x14ac:dyDescent="0.3">
      <c r="P543" s="3"/>
      <c r="Q543" s="3"/>
    </row>
    <row r="544" spans="16:17" x14ac:dyDescent="0.3">
      <c r="P544" s="3"/>
      <c r="Q544" s="3"/>
    </row>
    <row r="545" spans="16:17" x14ac:dyDescent="0.3">
      <c r="P545" s="3"/>
      <c r="Q545" s="3"/>
    </row>
    <row r="546" spans="16:17" x14ac:dyDescent="0.3">
      <c r="P546" s="3"/>
      <c r="Q546" s="3"/>
    </row>
    <row r="547" spans="16:17" x14ac:dyDescent="0.3">
      <c r="P547" s="3"/>
      <c r="Q547" s="3"/>
    </row>
    <row r="548" spans="16:17" x14ac:dyDescent="0.3">
      <c r="P548" s="3"/>
      <c r="Q548" s="3"/>
    </row>
    <row r="549" spans="16:17" x14ac:dyDescent="0.3">
      <c r="P549" s="3"/>
      <c r="Q549" s="3"/>
    </row>
    <row r="550" spans="16:17" x14ac:dyDescent="0.3">
      <c r="P550" s="3"/>
      <c r="Q550" s="3"/>
    </row>
    <row r="551" spans="16:17" x14ac:dyDescent="0.3">
      <c r="P551" s="3"/>
      <c r="Q551" s="3"/>
    </row>
    <row r="552" spans="16:17" x14ac:dyDescent="0.3">
      <c r="P552" s="3"/>
      <c r="Q552" s="3"/>
    </row>
    <row r="553" spans="16:17" x14ac:dyDescent="0.3">
      <c r="P553" s="3"/>
      <c r="Q553" s="3"/>
    </row>
    <row r="554" spans="16:17" x14ac:dyDescent="0.3">
      <c r="P554" s="3"/>
      <c r="Q554" s="3"/>
    </row>
    <row r="555" spans="16:17" x14ac:dyDescent="0.3">
      <c r="P555" s="3"/>
      <c r="Q555" s="3"/>
    </row>
    <row r="556" spans="16:17" x14ac:dyDescent="0.3">
      <c r="P556" s="3"/>
      <c r="Q556" s="3"/>
    </row>
    <row r="557" spans="16:17" x14ac:dyDescent="0.3">
      <c r="P557" s="3"/>
      <c r="Q557" s="3"/>
    </row>
    <row r="558" spans="16:17" x14ac:dyDescent="0.3">
      <c r="P558" s="3"/>
      <c r="Q558" s="3"/>
    </row>
    <row r="559" spans="16:17" x14ac:dyDescent="0.3">
      <c r="P559" s="3"/>
      <c r="Q559" s="3"/>
    </row>
    <row r="560" spans="16:17" x14ac:dyDescent="0.3">
      <c r="P560" s="3"/>
      <c r="Q560" s="3"/>
    </row>
    <row r="561" spans="16:17" x14ac:dyDescent="0.3">
      <c r="P561" s="3"/>
      <c r="Q561" s="3"/>
    </row>
    <row r="562" spans="16:17" x14ac:dyDescent="0.3">
      <c r="P562" s="3"/>
      <c r="Q562" s="3"/>
    </row>
    <row r="563" spans="16:17" x14ac:dyDescent="0.3">
      <c r="P563" s="3"/>
      <c r="Q563" s="3"/>
    </row>
    <row r="564" spans="16:17" x14ac:dyDescent="0.3">
      <c r="P564" s="3"/>
      <c r="Q564" s="3"/>
    </row>
    <row r="565" spans="16:17" x14ac:dyDescent="0.3">
      <c r="P565" s="3"/>
      <c r="Q565" s="3"/>
    </row>
    <row r="566" spans="16:17" x14ac:dyDescent="0.3">
      <c r="P566" s="3"/>
      <c r="Q566" s="3"/>
    </row>
    <row r="567" spans="16:17" x14ac:dyDescent="0.3">
      <c r="P567" s="3"/>
      <c r="Q567" s="3"/>
    </row>
    <row r="568" spans="16:17" x14ac:dyDescent="0.3">
      <c r="P568" s="3"/>
      <c r="Q568" s="3"/>
    </row>
    <row r="569" spans="16:17" x14ac:dyDescent="0.3">
      <c r="P569" s="3"/>
      <c r="Q569" s="3"/>
    </row>
    <row r="570" spans="16:17" x14ac:dyDescent="0.3">
      <c r="P570" s="3"/>
      <c r="Q570" s="3"/>
    </row>
    <row r="571" spans="16:17" x14ac:dyDescent="0.3">
      <c r="P571" s="3"/>
      <c r="Q571" s="3"/>
    </row>
    <row r="572" spans="16:17" x14ac:dyDescent="0.3">
      <c r="P572" s="3"/>
      <c r="Q572" s="3"/>
    </row>
    <row r="573" spans="16:17" x14ac:dyDescent="0.3">
      <c r="P573" s="3"/>
      <c r="Q573" s="3"/>
    </row>
    <row r="574" spans="16:17" x14ac:dyDescent="0.3">
      <c r="P574" s="3"/>
      <c r="Q574" s="3"/>
    </row>
    <row r="575" spans="16:17" x14ac:dyDescent="0.3">
      <c r="P575" s="3"/>
      <c r="Q575" s="3"/>
    </row>
    <row r="576" spans="16:17" x14ac:dyDescent="0.3">
      <c r="P576" s="3"/>
      <c r="Q576" s="3"/>
    </row>
    <row r="577" spans="16:17" x14ac:dyDescent="0.3">
      <c r="P577" s="3"/>
      <c r="Q577" s="3"/>
    </row>
    <row r="578" spans="16:17" x14ac:dyDescent="0.3">
      <c r="P578" s="3"/>
      <c r="Q578" s="3"/>
    </row>
    <row r="579" spans="16:17" x14ac:dyDescent="0.3">
      <c r="P579" s="3"/>
      <c r="Q579" s="3"/>
    </row>
    <row r="580" spans="16:17" x14ac:dyDescent="0.3">
      <c r="P580" s="3"/>
      <c r="Q580" s="3"/>
    </row>
    <row r="581" spans="16:17" x14ac:dyDescent="0.3">
      <c r="P581" s="3"/>
      <c r="Q581" s="3"/>
    </row>
    <row r="582" spans="16:17" x14ac:dyDescent="0.3">
      <c r="P582" s="3"/>
      <c r="Q582" s="3"/>
    </row>
    <row r="583" spans="16:17" x14ac:dyDescent="0.3">
      <c r="P583" s="3"/>
      <c r="Q583" s="3"/>
    </row>
    <row r="584" spans="16:17" x14ac:dyDescent="0.3">
      <c r="P584" s="3"/>
      <c r="Q584" s="3"/>
    </row>
    <row r="585" spans="16:17" x14ac:dyDescent="0.3">
      <c r="P585" s="3"/>
      <c r="Q585" s="3"/>
    </row>
    <row r="586" spans="16:17" x14ac:dyDescent="0.3">
      <c r="P586" s="3"/>
      <c r="Q586" s="3"/>
    </row>
    <row r="587" spans="16:17" x14ac:dyDescent="0.3">
      <c r="P587" s="3"/>
      <c r="Q587" s="3"/>
    </row>
    <row r="588" spans="16:17" x14ac:dyDescent="0.3">
      <c r="P588" s="3"/>
      <c r="Q588" s="3"/>
    </row>
    <row r="589" spans="16:17" x14ac:dyDescent="0.3">
      <c r="P589" s="3"/>
      <c r="Q589" s="3"/>
    </row>
    <row r="590" spans="16:17" x14ac:dyDescent="0.3">
      <c r="P590" s="3"/>
      <c r="Q590" s="3"/>
    </row>
    <row r="591" spans="16:17" x14ac:dyDescent="0.3">
      <c r="P591" s="3"/>
      <c r="Q591" s="3"/>
    </row>
    <row r="592" spans="16:17" x14ac:dyDescent="0.3">
      <c r="P592" s="3"/>
      <c r="Q592" s="3"/>
    </row>
    <row r="593" spans="16:17" x14ac:dyDescent="0.3">
      <c r="P593" s="3"/>
      <c r="Q593" s="3"/>
    </row>
    <row r="594" spans="16:17" x14ac:dyDescent="0.3">
      <c r="P594" s="3"/>
      <c r="Q594" s="3"/>
    </row>
    <row r="595" spans="16:17" x14ac:dyDescent="0.3">
      <c r="P595" s="3"/>
      <c r="Q595" s="3"/>
    </row>
    <row r="596" spans="16:17" x14ac:dyDescent="0.3">
      <c r="P596" s="3"/>
      <c r="Q596" s="3"/>
    </row>
    <row r="597" spans="16:17" x14ac:dyDescent="0.3">
      <c r="P597" s="3"/>
      <c r="Q597" s="3"/>
    </row>
    <row r="598" spans="16:17" x14ac:dyDescent="0.3">
      <c r="P598" s="3"/>
      <c r="Q598" s="3"/>
    </row>
    <row r="599" spans="16:17" x14ac:dyDescent="0.3">
      <c r="P599" s="3"/>
      <c r="Q599" s="3"/>
    </row>
    <row r="600" spans="16:17" x14ac:dyDescent="0.3">
      <c r="P600" s="3"/>
      <c r="Q600" s="3"/>
    </row>
    <row r="601" spans="16:17" x14ac:dyDescent="0.3">
      <c r="P601" s="3"/>
      <c r="Q601" s="3"/>
    </row>
    <row r="602" spans="16:17" x14ac:dyDescent="0.3">
      <c r="P602" s="3"/>
      <c r="Q602" s="3"/>
    </row>
    <row r="603" spans="16:17" x14ac:dyDescent="0.3">
      <c r="P603" s="3"/>
      <c r="Q603" s="3"/>
    </row>
    <row r="604" spans="16:17" x14ac:dyDescent="0.3">
      <c r="P604" s="3"/>
      <c r="Q604" s="3"/>
    </row>
    <row r="605" spans="16:17" x14ac:dyDescent="0.3">
      <c r="P605" s="3"/>
      <c r="Q605" s="3"/>
    </row>
    <row r="606" spans="16:17" x14ac:dyDescent="0.3">
      <c r="P606" s="3"/>
      <c r="Q606" s="3"/>
    </row>
    <row r="607" spans="16:17" x14ac:dyDescent="0.3">
      <c r="P607" s="3"/>
      <c r="Q607" s="3"/>
    </row>
    <row r="608" spans="16:17" x14ac:dyDescent="0.3">
      <c r="P608" s="3"/>
      <c r="Q608" s="3"/>
    </row>
    <row r="609" spans="16:17" x14ac:dyDescent="0.3">
      <c r="P609" s="3"/>
      <c r="Q609" s="3"/>
    </row>
    <row r="610" spans="16:17" x14ac:dyDescent="0.3">
      <c r="P610" s="3"/>
      <c r="Q610" s="3"/>
    </row>
    <row r="611" spans="16:17" x14ac:dyDescent="0.3">
      <c r="P611" s="3"/>
      <c r="Q611" s="3"/>
    </row>
    <row r="612" spans="16:17" x14ac:dyDescent="0.3">
      <c r="P612" s="3"/>
      <c r="Q612" s="3"/>
    </row>
    <row r="613" spans="16:17" x14ac:dyDescent="0.3">
      <c r="P613" s="3"/>
      <c r="Q613" s="3"/>
    </row>
    <row r="614" spans="16:17" x14ac:dyDescent="0.3">
      <c r="P614" s="3"/>
      <c r="Q614" s="3"/>
    </row>
    <row r="615" spans="16:17" x14ac:dyDescent="0.3">
      <c r="P615" s="3"/>
      <c r="Q615" s="3"/>
    </row>
    <row r="616" spans="16:17" x14ac:dyDescent="0.3">
      <c r="P616" s="3"/>
      <c r="Q616" s="3"/>
    </row>
    <row r="617" spans="16:17" x14ac:dyDescent="0.3">
      <c r="P617" s="3"/>
      <c r="Q617" s="3"/>
    </row>
    <row r="618" spans="16:17" x14ac:dyDescent="0.3">
      <c r="P618" s="3"/>
      <c r="Q618" s="3"/>
    </row>
    <row r="619" spans="16:17" x14ac:dyDescent="0.3">
      <c r="P619" s="3"/>
      <c r="Q619" s="3"/>
    </row>
    <row r="620" spans="16:17" x14ac:dyDescent="0.3">
      <c r="P620" s="3"/>
      <c r="Q620" s="3"/>
    </row>
    <row r="621" spans="16:17" x14ac:dyDescent="0.3">
      <c r="P621" s="3"/>
      <c r="Q621" s="3"/>
    </row>
    <row r="622" spans="16:17" x14ac:dyDescent="0.3">
      <c r="P622" s="3"/>
      <c r="Q622" s="3"/>
    </row>
    <row r="623" spans="16:17" x14ac:dyDescent="0.3">
      <c r="P623" s="3"/>
      <c r="Q623" s="3"/>
    </row>
    <row r="624" spans="16:17" x14ac:dyDescent="0.3">
      <c r="P624" s="3"/>
      <c r="Q624" s="3"/>
    </row>
    <row r="625" spans="16:17" x14ac:dyDescent="0.3">
      <c r="P625" s="3"/>
      <c r="Q625" s="3"/>
    </row>
    <row r="626" spans="16:17" x14ac:dyDescent="0.3">
      <c r="P626" s="3"/>
      <c r="Q626" s="3"/>
    </row>
    <row r="627" spans="16:17" x14ac:dyDescent="0.3">
      <c r="P627" s="3"/>
      <c r="Q627" s="3"/>
    </row>
    <row r="628" spans="16:17" x14ac:dyDescent="0.3">
      <c r="P628" s="3"/>
      <c r="Q628" s="3"/>
    </row>
    <row r="629" spans="16:17" x14ac:dyDescent="0.3">
      <c r="P629" s="3"/>
      <c r="Q629" s="3"/>
    </row>
    <row r="630" spans="16:17" x14ac:dyDescent="0.3">
      <c r="P630" s="3"/>
      <c r="Q630" s="3"/>
    </row>
    <row r="631" spans="16:17" x14ac:dyDescent="0.3">
      <c r="P631" s="3"/>
      <c r="Q631" s="3"/>
    </row>
    <row r="632" spans="16:17" x14ac:dyDescent="0.3">
      <c r="P632" s="3"/>
      <c r="Q632" s="3"/>
    </row>
    <row r="633" spans="16:17" x14ac:dyDescent="0.3">
      <c r="P633" s="3"/>
      <c r="Q633" s="3"/>
    </row>
    <row r="634" spans="16:17" x14ac:dyDescent="0.3">
      <c r="P634" s="3"/>
      <c r="Q634" s="3"/>
    </row>
    <row r="635" spans="16:17" x14ac:dyDescent="0.3">
      <c r="P635" s="3"/>
      <c r="Q635" s="3"/>
    </row>
    <row r="636" spans="16:17" x14ac:dyDescent="0.3">
      <c r="P636" s="3"/>
      <c r="Q636" s="3"/>
    </row>
    <row r="637" spans="16:17" x14ac:dyDescent="0.3">
      <c r="P637" s="3"/>
      <c r="Q637" s="3"/>
    </row>
    <row r="638" spans="16:17" x14ac:dyDescent="0.3">
      <c r="P638" s="3"/>
      <c r="Q638" s="3"/>
    </row>
    <row r="639" spans="16:17" x14ac:dyDescent="0.3">
      <c r="P639" s="3"/>
      <c r="Q639" s="3"/>
    </row>
    <row r="640" spans="16:17" x14ac:dyDescent="0.3">
      <c r="P640" s="3"/>
      <c r="Q640" s="3"/>
    </row>
    <row r="641" spans="16:17" x14ac:dyDescent="0.3">
      <c r="P641" s="3"/>
      <c r="Q641" s="3"/>
    </row>
    <row r="642" spans="16:17" x14ac:dyDescent="0.3">
      <c r="P642" s="3"/>
      <c r="Q642" s="3"/>
    </row>
    <row r="643" spans="16:17" x14ac:dyDescent="0.3">
      <c r="P643" s="3"/>
      <c r="Q643" s="3"/>
    </row>
    <row r="644" spans="16:17" x14ac:dyDescent="0.3">
      <c r="P644" s="3"/>
      <c r="Q644" s="3"/>
    </row>
    <row r="645" spans="16:17" x14ac:dyDescent="0.3">
      <c r="P645" s="3"/>
      <c r="Q645" s="3"/>
    </row>
    <row r="646" spans="16:17" x14ac:dyDescent="0.3">
      <c r="P646" s="3"/>
      <c r="Q646" s="3"/>
    </row>
    <row r="647" spans="16:17" x14ac:dyDescent="0.3">
      <c r="P647" s="3"/>
      <c r="Q647" s="3"/>
    </row>
    <row r="648" spans="16:17" x14ac:dyDescent="0.3">
      <c r="P648" s="3"/>
      <c r="Q648" s="3"/>
    </row>
    <row r="649" spans="16:17" x14ac:dyDescent="0.3">
      <c r="P649" s="3"/>
      <c r="Q649" s="3"/>
    </row>
    <row r="650" spans="16:17" x14ac:dyDescent="0.3">
      <c r="P650" s="3"/>
      <c r="Q650" s="3"/>
    </row>
    <row r="651" spans="16:17" x14ac:dyDescent="0.3">
      <c r="P651" s="3"/>
      <c r="Q651" s="3"/>
    </row>
    <row r="652" spans="16:17" x14ac:dyDescent="0.3">
      <c r="P652" s="3"/>
      <c r="Q652" s="3"/>
    </row>
    <row r="653" spans="16:17" x14ac:dyDescent="0.3">
      <c r="P653" s="3"/>
      <c r="Q653" s="3"/>
    </row>
    <row r="654" spans="16:17" x14ac:dyDescent="0.3">
      <c r="P654" s="3"/>
      <c r="Q654" s="3"/>
    </row>
    <row r="655" spans="16:17" x14ac:dyDescent="0.3">
      <c r="P655" s="3"/>
      <c r="Q655" s="3"/>
    </row>
    <row r="656" spans="16:17" x14ac:dyDescent="0.3">
      <c r="P656" s="3"/>
      <c r="Q656" s="3"/>
    </row>
    <row r="657" spans="16:17" x14ac:dyDescent="0.3">
      <c r="P657" s="3"/>
      <c r="Q657" s="3"/>
    </row>
    <row r="658" spans="16:17" x14ac:dyDescent="0.3">
      <c r="P658" s="3"/>
      <c r="Q658" s="3"/>
    </row>
    <row r="659" spans="16:17" x14ac:dyDescent="0.3">
      <c r="P659" s="3"/>
      <c r="Q659" s="3"/>
    </row>
    <row r="660" spans="16:17" x14ac:dyDescent="0.3">
      <c r="P660" s="3"/>
      <c r="Q660" s="3"/>
    </row>
    <row r="661" spans="16:17" x14ac:dyDescent="0.3">
      <c r="P661" s="3"/>
      <c r="Q661" s="3"/>
    </row>
    <row r="662" spans="16:17" x14ac:dyDescent="0.3">
      <c r="P662" s="3"/>
      <c r="Q662" s="3"/>
    </row>
    <row r="663" spans="16:17" x14ac:dyDescent="0.3">
      <c r="P663" s="3"/>
      <c r="Q663" s="3"/>
    </row>
    <row r="664" spans="16:17" x14ac:dyDescent="0.3">
      <c r="P664" s="3"/>
      <c r="Q664" s="3"/>
    </row>
    <row r="665" spans="16:17" x14ac:dyDescent="0.3">
      <c r="P665" s="3"/>
      <c r="Q665" s="3"/>
    </row>
    <row r="666" spans="16:17" x14ac:dyDescent="0.3">
      <c r="P666" s="3"/>
      <c r="Q666" s="3"/>
    </row>
    <row r="667" spans="16:17" x14ac:dyDescent="0.3">
      <c r="P667" s="3"/>
      <c r="Q667" s="3"/>
    </row>
    <row r="668" spans="16:17" x14ac:dyDescent="0.3">
      <c r="P668" s="3"/>
      <c r="Q668" s="3"/>
    </row>
    <row r="669" spans="16:17" x14ac:dyDescent="0.3">
      <c r="P669" s="3"/>
      <c r="Q669" s="3"/>
    </row>
    <row r="670" spans="16:17" x14ac:dyDescent="0.3">
      <c r="P670" s="3"/>
      <c r="Q670" s="3"/>
    </row>
    <row r="671" spans="16:17" x14ac:dyDescent="0.3">
      <c r="P671" s="3"/>
      <c r="Q671" s="3"/>
    </row>
    <row r="672" spans="16:17" x14ac:dyDescent="0.3">
      <c r="P672" s="3"/>
      <c r="Q672" s="3"/>
    </row>
    <row r="673" spans="16:17" x14ac:dyDescent="0.3">
      <c r="P673" s="3"/>
      <c r="Q673" s="3"/>
    </row>
    <row r="674" spans="16:17" x14ac:dyDescent="0.3">
      <c r="P674" s="3"/>
      <c r="Q674" s="3"/>
    </row>
    <row r="675" spans="16:17" x14ac:dyDescent="0.3">
      <c r="P675" s="3"/>
      <c r="Q675" s="3"/>
    </row>
    <row r="676" spans="16:17" x14ac:dyDescent="0.3">
      <c r="P676" s="3"/>
      <c r="Q676" s="3"/>
    </row>
    <row r="677" spans="16:17" x14ac:dyDescent="0.3">
      <c r="P677" s="3"/>
      <c r="Q677" s="3"/>
    </row>
    <row r="678" spans="16:17" x14ac:dyDescent="0.3">
      <c r="P678" s="3"/>
      <c r="Q678" s="3"/>
    </row>
    <row r="679" spans="16:17" x14ac:dyDescent="0.3">
      <c r="P679" s="3"/>
      <c r="Q679" s="3"/>
    </row>
    <row r="680" spans="16:17" x14ac:dyDescent="0.3">
      <c r="P680" s="3"/>
      <c r="Q680" s="3"/>
    </row>
    <row r="681" spans="16:17" x14ac:dyDescent="0.3">
      <c r="P681" s="3"/>
      <c r="Q681" s="3"/>
    </row>
    <row r="682" spans="16:17" x14ac:dyDescent="0.3">
      <c r="P682" s="3"/>
      <c r="Q682" s="3"/>
    </row>
    <row r="683" spans="16:17" x14ac:dyDescent="0.3">
      <c r="P683" s="3"/>
      <c r="Q683" s="3"/>
    </row>
    <row r="684" spans="16:17" x14ac:dyDescent="0.3">
      <c r="P684" s="3"/>
      <c r="Q684" s="3"/>
    </row>
    <row r="685" spans="16:17" x14ac:dyDescent="0.3">
      <c r="P685" s="3"/>
      <c r="Q685" s="3"/>
    </row>
    <row r="686" spans="16:17" x14ac:dyDescent="0.3">
      <c r="P686" s="3"/>
      <c r="Q686" s="3"/>
    </row>
    <row r="687" spans="16:17" x14ac:dyDescent="0.3">
      <c r="P687" s="3"/>
      <c r="Q687" s="3"/>
    </row>
    <row r="688" spans="16:17" x14ac:dyDescent="0.3">
      <c r="P688" s="3"/>
      <c r="Q688" s="3"/>
    </row>
    <row r="689" spans="16:17" x14ac:dyDescent="0.3">
      <c r="P689" s="3"/>
      <c r="Q689" s="3"/>
    </row>
    <row r="690" spans="16:17" x14ac:dyDescent="0.3">
      <c r="P690" s="3"/>
      <c r="Q690" s="3"/>
    </row>
    <row r="691" spans="16:17" x14ac:dyDescent="0.3">
      <c r="P691" s="3"/>
      <c r="Q691" s="3"/>
    </row>
    <row r="692" spans="16:17" x14ac:dyDescent="0.3">
      <c r="P692" s="3"/>
      <c r="Q692" s="3"/>
    </row>
    <row r="693" spans="16:17" x14ac:dyDescent="0.3">
      <c r="P693" s="3"/>
      <c r="Q693" s="3"/>
    </row>
    <row r="694" spans="16:17" x14ac:dyDescent="0.3">
      <c r="P694" s="3"/>
      <c r="Q694" s="3"/>
    </row>
    <row r="695" spans="16:17" x14ac:dyDescent="0.3">
      <c r="P695" s="3"/>
      <c r="Q695" s="3"/>
    </row>
    <row r="696" spans="16:17" x14ac:dyDescent="0.3">
      <c r="P696" s="3"/>
      <c r="Q696" s="3"/>
    </row>
    <row r="697" spans="16:17" x14ac:dyDescent="0.3">
      <c r="P697" s="3"/>
      <c r="Q697" s="3"/>
    </row>
    <row r="698" spans="16:17" x14ac:dyDescent="0.3">
      <c r="P698" s="3"/>
      <c r="Q698" s="3"/>
    </row>
    <row r="699" spans="16:17" x14ac:dyDescent="0.3">
      <c r="P699" s="3"/>
      <c r="Q699" s="3"/>
    </row>
    <row r="700" spans="16:17" x14ac:dyDescent="0.3">
      <c r="P700" s="3"/>
      <c r="Q700" s="3"/>
    </row>
    <row r="701" spans="16:17" x14ac:dyDescent="0.3">
      <c r="P701" s="3"/>
      <c r="Q701" s="3"/>
    </row>
    <row r="702" spans="16:17" x14ac:dyDescent="0.3">
      <c r="P702" s="3"/>
      <c r="Q702" s="3"/>
    </row>
    <row r="703" spans="16:17" x14ac:dyDescent="0.3">
      <c r="P703" s="3"/>
      <c r="Q703" s="3"/>
    </row>
    <row r="704" spans="16:17" x14ac:dyDescent="0.3">
      <c r="P704" s="3"/>
      <c r="Q704" s="3"/>
    </row>
    <row r="705" spans="16:17" x14ac:dyDescent="0.3">
      <c r="P705" s="3"/>
      <c r="Q705" s="3"/>
    </row>
    <row r="706" spans="16:17" x14ac:dyDescent="0.3">
      <c r="P706" s="3"/>
      <c r="Q706" s="3"/>
    </row>
    <row r="707" spans="16:17" x14ac:dyDescent="0.3">
      <c r="P707" s="3"/>
      <c r="Q707" s="3"/>
    </row>
    <row r="708" spans="16:17" x14ac:dyDescent="0.3">
      <c r="P708" s="3"/>
      <c r="Q708" s="3"/>
    </row>
    <row r="709" spans="16:17" x14ac:dyDescent="0.3">
      <c r="P709" s="3"/>
      <c r="Q709" s="3"/>
    </row>
    <row r="710" spans="16:17" x14ac:dyDescent="0.3">
      <c r="P710" s="3"/>
      <c r="Q710" s="3"/>
    </row>
    <row r="711" spans="16:17" x14ac:dyDescent="0.3">
      <c r="P711" s="3"/>
      <c r="Q711" s="3"/>
    </row>
    <row r="712" spans="16:17" x14ac:dyDescent="0.3">
      <c r="P712" s="3"/>
      <c r="Q712" s="3"/>
    </row>
    <row r="713" spans="16:17" x14ac:dyDescent="0.3">
      <c r="P713" s="3"/>
      <c r="Q713" s="3"/>
    </row>
    <row r="714" spans="16:17" x14ac:dyDescent="0.3">
      <c r="P714" s="3"/>
      <c r="Q714" s="3"/>
    </row>
    <row r="715" spans="16:17" x14ac:dyDescent="0.3">
      <c r="P715" s="3"/>
      <c r="Q715" s="3"/>
    </row>
    <row r="716" spans="16:17" x14ac:dyDescent="0.3">
      <c r="P716" s="3"/>
      <c r="Q716" s="3"/>
    </row>
    <row r="717" spans="16:17" x14ac:dyDescent="0.3">
      <c r="P717" s="3"/>
      <c r="Q717" s="3"/>
    </row>
    <row r="718" spans="16:17" x14ac:dyDescent="0.3">
      <c r="P718" s="3"/>
      <c r="Q718" s="3"/>
    </row>
    <row r="719" spans="16:17" x14ac:dyDescent="0.3">
      <c r="P719" s="3"/>
      <c r="Q719" s="3"/>
    </row>
    <row r="720" spans="16:17" x14ac:dyDescent="0.3">
      <c r="P720" s="3"/>
      <c r="Q720" s="3"/>
    </row>
    <row r="721" spans="16:17" x14ac:dyDescent="0.3">
      <c r="P721" s="3"/>
      <c r="Q721" s="3"/>
    </row>
    <row r="722" spans="16:17" x14ac:dyDescent="0.3">
      <c r="P722" s="3"/>
      <c r="Q722" s="3"/>
    </row>
    <row r="723" spans="16:17" x14ac:dyDescent="0.3">
      <c r="P723" s="3"/>
      <c r="Q723" s="3"/>
    </row>
    <row r="724" spans="16:17" x14ac:dyDescent="0.3">
      <c r="P724" s="3"/>
      <c r="Q724" s="3"/>
    </row>
    <row r="725" spans="16:17" x14ac:dyDescent="0.3">
      <c r="P725" s="3"/>
      <c r="Q725" s="3"/>
    </row>
    <row r="726" spans="16:17" x14ac:dyDescent="0.3">
      <c r="P726" s="3"/>
      <c r="Q726" s="3"/>
    </row>
    <row r="727" spans="16:17" x14ac:dyDescent="0.3">
      <c r="P727" s="3"/>
      <c r="Q727" s="3"/>
    </row>
    <row r="728" spans="16:17" x14ac:dyDescent="0.3">
      <c r="P728" s="3"/>
      <c r="Q728" s="3"/>
    </row>
    <row r="729" spans="16:17" x14ac:dyDescent="0.3">
      <c r="P729" s="3"/>
      <c r="Q729" s="3"/>
    </row>
    <row r="730" spans="16:17" x14ac:dyDescent="0.3">
      <c r="P730" s="3"/>
      <c r="Q730" s="3"/>
    </row>
    <row r="731" spans="16:17" x14ac:dyDescent="0.3">
      <c r="P731" s="3"/>
      <c r="Q731" s="3"/>
    </row>
    <row r="732" spans="16:17" x14ac:dyDescent="0.3">
      <c r="P732" s="3"/>
      <c r="Q732" s="3"/>
    </row>
    <row r="733" spans="16:17" x14ac:dyDescent="0.3">
      <c r="P733" s="3"/>
      <c r="Q733" s="3"/>
    </row>
    <row r="734" spans="16:17" x14ac:dyDescent="0.3">
      <c r="P734" s="3"/>
      <c r="Q734" s="3"/>
    </row>
    <row r="735" spans="16:17" x14ac:dyDescent="0.3">
      <c r="P735" s="3"/>
      <c r="Q735" s="3"/>
    </row>
    <row r="736" spans="16:17" x14ac:dyDescent="0.3">
      <c r="P736" s="3"/>
      <c r="Q736" s="3"/>
    </row>
    <row r="737" spans="16:17" x14ac:dyDescent="0.3">
      <c r="P737" s="3"/>
      <c r="Q737" s="3"/>
    </row>
    <row r="738" spans="16:17" x14ac:dyDescent="0.3">
      <c r="P738" s="3"/>
      <c r="Q738" s="3"/>
    </row>
    <row r="739" spans="16:17" x14ac:dyDescent="0.3">
      <c r="P739" s="3"/>
      <c r="Q739" s="3"/>
    </row>
    <row r="740" spans="16:17" x14ac:dyDescent="0.3">
      <c r="P740" s="3"/>
      <c r="Q740" s="3"/>
    </row>
    <row r="741" spans="16:17" x14ac:dyDescent="0.3">
      <c r="P741" s="3"/>
      <c r="Q741" s="3"/>
    </row>
    <row r="742" spans="16:17" x14ac:dyDescent="0.3">
      <c r="P742" s="3"/>
      <c r="Q742" s="3"/>
    </row>
    <row r="743" spans="16:17" x14ac:dyDescent="0.3">
      <c r="P743" s="3"/>
      <c r="Q743" s="3"/>
    </row>
    <row r="744" spans="16:17" x14ac:dyDescent="0.3">
      <c r="P744" s="3"/>
      <c r="Q744" s="3"/>
    </row>
    <row r="745" spans="16:17" x14ac:dyDescent="0.3">
      <c r="P745" s="3"/>
      <c r="Q745" s="3"/>
    </row>
    <row r="746" spans="16:17" x14ac:dyDescent="0.3">
      <c r="P746" s="3"/>
      <c r="Q746" s="3"/>
    </row>
    <row r="747" spans="16:17" x14ac:dyDescent="0.3">
      <c r="P747" s="3"/>
      <c r="Q747" s="3"/>
    </row>
    <row r="748" spans="16:17" x14ac:dyDescent="0.3">
      <c r="P748" s="3"/>
      <c r="Q748" s="3"/>
    </row>
    <row r="749" spans="16:17" x14ac:dyDescent="0.3">
      <c r="P749" s="3"/>
      <c r="Q749" s="3"/>
    </row>
    <row r="750" spans="16:17" x14ac:dyDescent="0.3">
      <c r="P750" s="3"/>
      <c r="Q750" s="3"/>
    </row>
    <row r="751" spans="16:17" x14ac:dyDescent="0.3">
      <c r="P751" s="3"/>
      <c r="Q751" s="3"/>
    </row>
    <row r="752" spans="16:17" x14ac:dyDescent="0.3">
      <c r="P752" s="3"/>
      <c r="Q752" s="3"/>
    </row>
    <row r="753" spans="16:17" x14ac:dyDescent="0.3">
      <c r="P753" s="3"/>
      <c r="Q753" s="3"/>
    </row>
    <row r="754" spans="16:17" x14ac:dyDescent="0.3">
      <c r="P754" s="3"/>
      <c r="Q754" s="3"/>
    </row>
    <row r="755" spans="16:17" x14ac:dyDescent="0.3">
      <c r="P755" s="3"/>
      <c r="Q755" s="3"/>
    </row>
    <row r="756" spans="16:17" x14ac:dyDescent="0.3">
      <c r="P756" s="3"/>
      <c r="Q756" s="3"/>
    </row>
    <row r="757" spans="16:17" x14ac:dyDescent="0.3">
      <c r="P757" s="3"/>
      <c r="Q757" s="3"/>
    </row>
    <row r="758" spans="16:17" x14ac:dyDescent="0.3">
      <c r="P758" s="3"/>
      <c r="Q758" s="3"/>
    </row>
    <row r="759" spans="16:17" x14ac:dyDescent="0.3">
      <c r="P759" s="3"/>
      <c r="Q759" s="3"/>
    </row>
    <row r="760" spans="16:17" x14ac:dyDescent="0.3">
      <c r="P760" s="3"/>
      <c r="Q760" s="3"/>
    </row>
    <row r="761" spans="16:17" x14ac:dyDescent="0.3">
      <c r="P761" s="3"/>
      <c r="Q761" s="3"/>
    </row>
    <row r="762" spans="16:17" x14ac:dyDescent="0.3">
      <c r="P762" s="3"/>
      <c r="Q762" s="3"/>
    </row>
    <row r="763" spans="16:17" x14ac:dyDescent="0.3">
      <c r="P763" s="3"/>
      <c r="Q763" s="3"/>
    </row>
    <row r="764" spans="16:17" x14ac:dyDescent="0.3">
      <c r="P764" s="3"/>
      <c r="Q764" s="3"/>
    </row>
    <row r="765" spans="16:17" x14ac:dyDescent="0.3">
      <c r="P765" s="3"/>
      <c r="Q765" s="3"/>
    </row>
    <row r="766" spans="16:17" x14ac:dyDescent="0.3">
      <c r="P766" s="3"/>
      <c r="Q766" s="3"/>
    </row>
    <row r="767" spans="16:17" x14ac:dyDescent="0.3">
      <c r="P767" s="3"/>
      <c r="Q767" s="3"/>
    </row>
    <row r="768" spans="16:17" x14ac:dyDescent="0.3">
      <c r="P768" s="3"/>
      <c r="Q768" s="3"/>
    </row>
    <row r="769" spans="16:17" x14ac:dyDescent="0.3">
      <c r="P769" s="3"/>
      <c r="Q769" s="3"/>
    </row>
    <row r="770" spans="16:17" x14ac:dyDescent="0.3">
      <c r="P770" s="3"/>
      <c r="Q770" s="3"/>
    </row>
    <row r="771" spans="16:17" x14ac:dyDescent="0.3">
      <c r="P771" s="3"/>
      <c r="Q771" s="3"/>
    </row>
    <row r="772" spans="16:17" x14ac:dyDescent="0.3">
      <c r="P772" s="3"/>
      <c r="Q772" s="3"/>
    </row>
    <row r="773" spans="16:17" x14ac:dyDescent="0.3">
      <c r="P773" s="3"/>
      <c r="Q773" s="3"/>
    </row>
    <row r="774" spans="16:17" x14ac:dyDescent="0.3">
      <c r="P774" s="3"/>
      <c r="Q774" s="3"/>
    </row>
    <row r="775" spans="16:17" x14ac:dyDescent="0.3">
      <c r="P775" s="3"/>
      <c r="Q775" s="3"/>
    </row>
    <row r="776" spans="16:17" x14ac:dyDescent="0.3">
      <c r="P776" s="3"/>
      <c r="Q776" s="3"/>
    </row>
    <row r="777" spans="16:17" x14ac:dyDescent="0.3">
      <c r="P777" s="3"/>
      <c r="Q777" s="3"/>
    </row>
    <row r="778" spans="16:17" x14ac:dyDescent="0.3">
      <c r="P778" s="3"/>
      <c r="Q778" s="3"/>
    </row>
    <row r="779" spans="16:17" x14ac:dyDescent="0.3">
      <c r="P779" s="3"/>
      <c r="Q779" s="3"/>
    </row>
    <row r="780" spans="16:17" x14ac:dyDescent="0.3">
      <c r="P780" s="3"/>
      <c r="Q780" s="3"/>
    </row>
    <row r="781" spans="16:17" x14ac:dyDescent="0.3">
      <c r="P781" s="3"/>
      <c r="Q781" s="3"/>
    </row>
  </sheetData>
  <autoFilter ref="A1:R47" xr:uid="{D1ACAFA7-C12D-4D50-ACD5-487DCF042404}"/>
  <sortState xmlns:xlrd2="http://schemas.microsoft.com/office/spreadsheetml/2017/richdata2" ref="A2:Q26">
    <sortCondition ref="H2:H26"/>
  </sortState>
  <conditionalFormatting sqref="F1:F1048576">
    <cfRule type="duplicateValues" dxfId="4" priority="1"/>
  </conditionalFormatting>
  <conditionalFormatting sqref="F92:F203">
    <cfRule type="duplicateValues" dxfId="3" priority="3"/>
  </conditionalFormatting>
  <conditionalFormatting sqref="F204">
    <cfRule type="duplicateValues" dxfId="2" priority="5"/>
  </conditionalFormatting>
  <conditionalFormatting sqref="F205:F272">
    <cfRule type="duplicateValues" dxfId="1" priority="6"/>
  </conditionalFormatting>
  <conditionalFormatting sqref="F273:F781">
    <cfRule type="duplicateValues" dxfId="0" priority="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9680-EAC2-43E1-BF36-2917E1D55D37}">
  <dimension ref="A1:J28"/>
  <sheetViews>
    <sheetView topLeftCell="A4" workbookViewId="0">
      <selection activeCell="B2" sqref="B2:B28"/>
    </sheetView>
  </sheetViews>
  <sheetFormatPr defaultRowHeight="14.4" x14ac:dyDescent="0.3"/>
  <cols>
    <col min="2" max="2" width="9.6640625" bestFit="1" customWidth="1"/>
    <col min="3" max="3" width="62.88671875" bestFit="1" customWidth="1"/>
    <col min="4" max="4" width="5.33203125" bestFit="1" customWidth="1"/>
    <col min="5" max="5" width="17.88671875" bestFit="1" customWidth="1"/>
    <col min="6" max="6" width="16.33203125" bestFit="1" customWidth="1"/>
    <col min="7" max="7" width="17" bestFit="1" customWidth="1"/>
    <col min="8" max="8" width="17.5546875" bestFit="1" customWidth="1"/>
    <col min="9" max="9" width="16.88671875" bestFit="1" customWidth="1"/>
    <col min="10" max="10" width="16.6640625" bestFit="1" customWidth="1"/>
  </cols>
  <sheetData>
    <row r="1" spans="1:10" x14ac:dyDescent="0.3">
      <c r="B1" s="9" t="s">
        <v>4</v>
      </c>
      <c r="C1" s="9" t="s">
        <v>78</v>
      </c>
      <c r="D1" s="9" t="s">
        <v>6</v>
      </c>
      <c r="E1" s="10" t="s">
        <v>7</v>
      </c>
      <c r="F1" s="10" t="s">
        <v>8</v>
      </c>
      <c r="G1" s="9" t="s">
        <v>9</v>
      </c>
      <c r="H1" s="10" t="s">
        <v>10</v>
      </c>
      <c r="I1" s="11" t="s">
        <v>11</v>
      </c>
      <c r="J1" s="10" t="s">
        <v>12</v>
      </c>
    </row>
    <row r="2" spans="1:10" x14ac:dyDescent="0.3">
      <c r="A2" t="str">
        <f>+B2&amp;D2</f>
        <v>0126-0001LT</v>
      </c>
      <c r="B2" s="9" t="s">
        <v>20</v>
      </c>
      <c r="C2" s="9" t="s">
        <v>50</v>
      </c>
      <c r="D2" s="9" t="s">
        <v>51</v>
      </c>
      <c r="E2" s="10">
        <v>218.25</v>
      </c>
      <c r="F2" s="10">
        <v>225</v>
      </c>
      <c r="G2" s="9">
        <v>236.84</v>
      </c>
      <c r="H2" s="10">
        <v>233.95</v>
      </c>
      <c r="I2" s="11">
        <v>229.13</v>
      </c>
      <c r="J2" s="10">
        <v>241.19</v>
      </c>
    </row>
    <row r="3" spans="1:10" x14ac:dyDescent="0.3">
      <c r="A3" t="str">
        <f t="shared" ref="A3:A28" si="0">+B3&amp;D3</f>
        <v>0126-0004KG</v>
      </c>
      <c r="B3" s="9" t="s">
        <v>34</v>
      </c>
      <c r="C3" s="9" t="s">
        <v>65</v>
      </c>
      <c r="D3" s="9" t="s">
        <v>16</v>
      </c>
      <c r="E3" s="10">
        <v>630.5</v>
      </c>
      <c r="F3" s="10">
        <v>650</v>
      </c>
      <c r="G3" s="9">
        <v>684.21</v>
      </c>
      <c r="H3" s="10">
        <v>675.86</v>
      </c>
      <c r="I3" s="11">
        <v>661.93</v>
      </c>
      <c r="J3" s="10">
        <v>696.76</v>
      </c>
    </row>
    <row r="4" spans="1:10" x14ac:dyDescent="0.3">
      <c r="A4" t="str">
        <f t="shared" si="0"/>
        <v>0126-0007KG</v>
      </c>
      <c r="B4" s="9" t="s">
        <v>23</v>
      </c>
      <c r="C4" s="9" t="s">
        <v>54</v>
      </c>
      <c r="D4" s="9" t="s">
        <v>16</v>
      </c>
      <c r="E4" s="10">
        <v>242.5</v>
      </c>
      <c r="F4" s="10">
        <v>250</v>
      </c>
      <c r="G4" s="9">
        <v>263.16000000000003</v>
      </c>
      <c r="H4" s="10">
        <v>259.95</v>
      </c>
      <c r="I4" s="11">
        <v>254.59</v>
      </c>
      <c r="J4" s="10">
        <v>267.99</v>
      </c>
    </row>
    <row r="5" spans="1:10" x14ac:dyDescent="0.3">
      <c r="A5" t="str">
        <f t="shared" si="0"/>
        <v>0126-0008KG</v>
      </c>
      <c r="B5" s="9" t="s">
        <v>28</v>
      </c>
      <c r="C5" s="9" t="s">
        <v>59</v>
      </c>
      <c r="D5" s="9" t="s">
        <v>16</v>
      </c>
      <c r="E5" s="10">
        <v>552.9</v>
      </c>
      <c r="F5" s="10">
        <v>570</v>
      </c>
      <c r="G5" s="9">
        <v>600</v>
      </c>
      <c r="H5" s="10">
        <v>592.67999999999995</v>
      </c>
      <c r="I5" s="11">
        <v>580.46</v>
      </c>
      <c r="J5" s="10">
        <v>611.01</v>
      </c>
    </row>
    <row r="6" spans="1:10" x14ac:dyDescent="0.3">
      <c r="A6" t="str">
        <f t="shared" si="0"/>
        <v>0126-0009KG</v>
      </c>
      <c r="B6" s="9" t="s">
        <v>35</v>
      </c>
      <c r="C6" s="9" t="s">
        <v>66</v>
      </c>
      <c r="D6" s="9" t="s">
        <v>16</v>
      </c>
      <c r="E6" s="10">
        <v>630.5</v>
      </c>
      <c r="F6" s="10">
        <v>650</v>
      </c>
      <c r="G6" s="9">
        <v>684.21</v>
      </c>
      <c r="H6" s="10">
        <v>675.86</v>
      </c>
      <c r="I6" s="11">
        <v>661.93</v>
      </c>
      <c r="J6" s="10">
        <v>696.76</v>
      </c>
    </row>
    <row r="7" spans="1:10" x14ac:dyDescent="0.3">
      <c r="A7" t="str">
        <f t="shared" si="0"/>
        <v>0126-0017KG</v>
      </c>
      <c r="B7" s="9" t="s">
        <v>26</v>
      </c>
      <c r="C7" s="9" t="s">
        <v>57</v>
      </c>
      <c r="D7" s="9" t="s">
        <v>16</v>
      </c>
      <c r="E7" s="10">
        <v>485</v>
      </c>
      <c r="F7" s="10">
        <v>500</v>
      </c>
      <c r="G7" s="9">
        <v>526.32000000000005</v>
      </c>
      <c r="H7" s="10">
        <v>519.89</v>
      </c>
      <c r="I7" s="11">
        <v>509.17</v>
      </c>
      <c r="J7" s="10">
        <v>535.97</v>
      </c>
    </row>
    <row r="8" spans="1:10" x14ac:dyDescent="0.3">
      <c r="A8" t="str">
        <f t="shared" si="0"/>
        <v>0126-0021KG</v>
      </c>
      <c r="B8" s="9" t="s">
        <v>33</v>
      </c>
      <c r="C8" s="9" t="s">
        <v>64</v>
      </c>
      <c r="D8" s="9" t="s">
        <v>16</v>
      </c>
      <c r="E8" s="10">
        <v>630.5</v>
      </c>
      <c r="F8" s="10">
        <v>650</v>
      </c>
      <c r="G8" s="9">
        <v>684.21</v>
      </c>
      <c r="H8" s="10">
        <v>675.86</v>
      </c>
      <c r="I8" s="11">
        <v>661.93</v>
      </c>
      <c r="J8" s="10">
        <v>696.76</v>
      </c>
    </row>
    <row r="9" spans="1:10" x14ac:dyDescent="0.3">
      <c r="A9" t="str">
        <f t="shared" si="0"/>
        <v>0126-0023KG</v>
      </c>
      <c r="B9" s="9" t="s">
        <v>29</v>
      </c>
      <c r="C9" s="9" t="s">
        <v>60</v>
      </c>
      <c r="D9" s="9" t="s">
        <v>16</v>
      </c>
      <c r="E9" s="10">
        <v>552.9</v>
      </c>
      <c r="F9" s="10">
        <v>570</v>
      </c>
      <c r="G9" s="9">
        <v>600</v>
      </c>
      <c r="H9" s="10">
        <v>592.67999999999995</v>
      </c>
      <c r="I9" s="11">
        <v>580.46</v>
      </c>
      <c r="J9" s="10">
        <v>611.01</v>
      </c>
    </row>
    <row r="10" spans="1:10" x14ac:dyDescent="0.3">
      <c r="A10" t="str">
        <f t="shared" si="0"/>
        <v>0126-0025KG</v>
      </c>
      <c r="B10" s="9" t="s">
        <v>24</v>
      </c>
      <c r="C10" s="9" t="s">
        <v>79</v>
      </c>
      <c r="D10" s="9" t="s">
        <v>16</v>
      </c>
      <c r="E10" s="10">
        <v>242.5</v>
      </c>
      <c r="F10" s="10">
        <v>250</v>
      </c>
      <c r="G10" s="9">
        <v>263.16000000000003</v>
      </c>
      <c r="H10" s="10">
        <v>259.95</v>
      </c>
      <c r="I10" s="11">
        <v>254.59</v>
      </c>
      <c r="J10" s="10">
        <v>267.99</v>
      </c>
    </row>
    <row r="11" spans="1:10" x14ac:dyDescent="0.3">
      <c r="A11" t="str">
        <f t="shared" si="0"/>
        <v>0126-0026KG</v>
      </c>
      <c r="B11" s="9" t="s">
        <v>76</v>
      </c>
      <c r="C11" s="9" t="s">
        <v>77</v>
      </c>
      <c r="D11" s="9" t="s">
        <v>16</v>
      </c>
      <c r="E11" s="10">
        <v>552.9</v>
      </c>
      <c r="F11" s="10">
        <v>570</v>
      </c>
      <c r="G11" s="9">
        <v>600</v>
      </c>
      <c r="H11" s="10">
        <v>592.67999999999995</v>
      </c>
      <c r="I11" s="11">
        <v>580.46</v>
      </c>
      <c r="J11" s="10">
        <v>611.01</v>
      </c>
    </row>
    <row r="12" spans="1:10" x14ac:dyDescent="0.3">
      <c r="A12" t="str">
        <f t="shared" si="0"/>
        <v>0126-0028KG</v>
      </c>
      <c r="B12" s="9" t="s">
        <v>19</v>
      </c>
      <c r="C12" s="9" t="s">
        <v>49</v>
      </c>
      <c r="D12" s="9" t="s">
        <v>16</v>
      </c>
      <c r="E12" s="10">
        <v>218.25</v>
      </c>
      <c r="F12" s="10">
        <v>225</v>
      </c>
      <c r="G12" s="9">
        <v>236.84</v>
      </c>
      <c r="H12" s="10">
        <v>233.95</v>
      </c>
      <c r="I12" s="11">
        <v>229.13</v>
      </c>
      <c r="J12" s="10">
        <v>241.19</v>
      </c>
    </row>
    <row r="13" spans="1:10" x14ac:dyDescent="0.3">
      <c r="A13" t="str">
        <f t="shared" si="0"/>
        <v>0126-0030KG</v>
      </c>
      <c r="B13" s="9" t="s">
        <v>30</v>
      </c>
      <c r="C13" s="9" t="s">
        <v>61</v>
      </c>
      <c r="D13" s="9" t="s">
        <v>16</v>
      </c>
      <c r="E13" s="10">
        <v>552.9</v>
      </c>
      <c r="F13" s="10">
        <v>570</v>
      </c>
      <c r="G13" s="9">
        <v>600</v>
      </c>
      <c r="H13" s="10">
        <v>592.67999999999995</v>
      </c>
      <c r="I13" s="11">
        <v>580.46</v>
      </c>
      <c r="J13" s="10">
        <v>611.01</v>
      </c>
    </row>
    <row r="14" spans="1:10" x14ac:dyDescent="0.3">
      <c r="A14" t="str">
        <f t="shared" si="0"/>
        <v>0126-0032KG</v>
      </c>
      <c r="B14" s="9" t="s">
        <v>27</v>
      </c>
      <c r="C14" s="9" t="s">
        <v>58</v>
      </c>
      <c r="D14" s="9" t="s">
        <v>16</v>
      </c>
      <c r="E14" s="10">
        <v>485</v>
      </c>
      <c r="F14" s="10">
        <v>500</v>
      </c>
      <c r="G14" s="9">
        <v>526.32000000000005</v>
      </c>
      <c r="H14" s="10">
        <v>519.89</v>
      </c>
      <c r="I14" s="11">
        <v>509.17</v>
      </c>
      <c r="J14" s="10">
        <v>535.97</v>
      </c>
    </row>
    <row r="15" spans="1:10" x14ac:dyDescent="0.3">
      <c r="A15" t="str">
        <f t="shared" si="0"/>
        <v>0126-0035KG</v>
      </c>
      <c r="B15" s="9" t="s">
        <v>36</v>
      </c>
      <c r="C15" s="9" t="s">
        <v>80</v>
      </c>
      <c r="D15" s="9" t="s">
        <v>16</v>
      </c>
      <c r="E15" s="10">
        <v>630.5</v>
      </c>
      <c r="F15" s="10">
        <v>650</v>
      </c>
      <c r="G15" s="9">
        <v>684.21</v>
      </c>
      <c r="H15" s="10">
        <v>675.86</v>
      </c>
      <c r="I15" s="11">
        <v>661.93</v>
      </c>
      <c r="J15" s="10">
        <v>696.76</v>
      </c>
    </row>
    <row r="16" spans="1:10" x14ac:dyDescent="0.3">
      <c r="A16" t="str">
        <f t="shared" si="0"/>
        <v>0126-0037KG</v>
      </c>
      <c r="B16" s="9" t="s">
        <v>31</v>
      </c>
      <c r="C16" s="9" t="s">
        <v>62</v>
      </c>
      <c r="D16" s="9" t="s">
        <v>16</v>
      </c>
      <c r="E16" s="10">
        <v>552.9</v>
      </c>
      <c r="F16" s="10">
        <v>570</v>
      </c>
      <c r="G16" s="9">
        <v>600</v>
      </c>
      <c r="H16" s="10">
        <v>592.67999999999995</v>
      </c>
      <c r="I16" s="11">
        <v>580.46</v>
      </c>
      <c r="J16" s="10">
        <v>611.01</v>
      </c>
    </row>
    <row r="17" spans="1:10" x14ac:dyDescent="0.3">
      <c r="A17" t="str">
        <f t="shared" si="0"/>
        <v>0126-0040KG</v>
      </c>
      <c r="B17" s="9" t="s">
        <v>32</v>
      </c>
      <c r="C17" s="9" t="s">
        <v>63</v>
      </c>
      <c r="D17" s="9" t="s">
        <v>16</v>
      </c>
      <c r="E17" s="10">
        <v>552.9</v>
      </c>
      <c r="F17" s="10">
        <v>570</v>
      </c>
      <c r="G17" s="9">
        <v>600</v>
      </c>
      <c r="H17" s="10">
        <v>592.67999999999995</v>
      </c>
      <c r="I17" s="11">
        <v>580.46</v>
      </c>
      <c r="J17" s="10">
        <v>611.01</v>
      </c>
    </row>
    <row r="18" spans="1:10" x14ac:dyDescent="0.3">
      <c r="A18" t="str">
        <f t="shared" si="0"/>
        <v>0126-0041LT</v>
      </c>
      <c r="B18" s="9" t="s">
        <v>21</v>
      </c>
      <c r="C18" s="9" t="s">
        <v>52</v>
      </c>
      <c r="D18" s="9" t="s">
        <v>51</v>
      </c>
      <c r="E18" s="10">
        <v>218.25</v>
      </c>
      <c r="F18" s="10">
        <v>225</v>
      </c>
      <c r="G18" s="9">
        <v>236.84</v>
      </c>
      <c r="H18" s="10">
        <v>233.95</v>
      </c>
      <c r="I18" s="11">
        <v>229.13</v>
      </c>
      <c r="J18" s="10">
        <v>241.19</v>
      </c>
    </row>
    <row r="19" spans="1:10" x14ac:dyDescent="0.3">
      <c r="A19" t="str">
        <f t="shared" si="0"/>
        <v>0152-0016KG</v>
      </c>
      <c r="B19" s="9" t="s">
        <v>25</v>
      </c>
      <c r="C19" s="9" t="s">
        <v>56</v>
      </c>
      <c r="D19" s="9" t="s">
        <v>16</v>
      </c>
      <c r="E19" s="10">
        <v>242.5</v>
      </c>
      <c r="F19" s="10">
        <v>250</v>
      </c>
      <c r="G19" s="9">
        <v>263.16000000000003</v>
      </c>
      <c r="H19" s="10">
        <v>259.95</v>
      </c>
      <c r="I19" s="11">
        <v>254.59</v>
      </c>
      <c r="J19" s="10">
        <v>267.99</v>
      </c>
    </row>
    <row r="20" spans="1:10" x14ac:dyDescent="0.3">
      <c r="A20" t="str">
        <f t="shared" si="0"/>
        <v>0152-0042KG</v>
      </c>
      <c r="B20" s="9" t="s">
        <v>22</v>
      </c>
      <c r="C20" s="9" t="s">
        <v>53</v>
      </c>
      <c r="D20" s="9" t="s">
        <v>16</v>
      </c>
      <c r="E20" s="10">
        <v>218.25</v>
      </c>
      <c r="F20" s="10">
        <v>225</v>
      </c>
      <c r="G20" s="9">
        <v>236.84</v>
      </c>
      <c r="H20" s="10">
        <v>233.95</v>
      </c>
      <c r="I20" s="11">
        <v>229.13</v>
      </c>
      <c r="J20" s="10">
        <v>241.19</v>
      </c>
    </row>
    <row r="21" spans="1:10" x14ac:dyDescent="0.3">
      <c r="A21" t="str">
        <f t="shared" si="0"/>
        <v>0176-0006KG</v>
      </c>
      <c r="B21" s="9" t="s">
        <v>39</v>
      </c>
      <c r="C21" s="9" t="s">
        <v>81</v>
      </c>
      <c r="D21" s="9" t="s">
        <v>16</v>
      </c>
      <c r="E21" s="10">
        <v>679</v>
      </c>
      <c r="F21" s="10">
        <v>700</v>
      </c>
      <c r="G21" s="9">
        <v>736.84</v>
      </c>
      <c r="H21" s="10">
        <v>727.85</v>
      </c>
      <c r="I21" s="11">
        <v>712.84</v>
      </c>
      <c r="J21" s="10">
        <v>750.36</v>
      </c>
    </row>
    <row r="22" spans="1:10" x14ac:dyDescent="0.3">
      <c r="A22" t="str">
        <f t="shared" si="0"/>
        <v>0176-0009KG</v>
      </c>
      <c r="B22" s="9" t="s">
        <v>38</v>
      </c>
      <c r="C22" s="9" t="s">
        <v>69</v>
      </c>
      <c r="D22" s="9" t="s">
        <v>16</v>
      </c>
      <c r="E22" s="10">
        <v>582</v>
      </c>
      <c r="F22" s="10">
        <v>600</v>
      </c>
      <c r="G22" s="9">
        <v>631.58000000000004</v>
      </c>
      <c r="H22" s="10">
        <v>623.87</v>
      </c>
      <c r="I22" s="11">
        <v>611.01</v>
      </c>
      <c r="J22" s="10">
        <v>643.16999999999996</v>
      </c>
    </row>
    <row r="23" spans="1:10" x14ac:dyDescent="0.3">
      <c r="A23" t="str">
        <f t="shared" si="0"/>
        <v>0176-0017BAG</v>
      </c>
      <c r="B23" s="9" t="s">
        <v>72</v>
      </c>
      <c r="C23" s="9" t="s">
        <v>73</v>
      </c>
      <c r="D23" s="9" t="s">
        <v>82</v>
      </c>
      <c r="E23" s="10">
        <v>24250</v>
      </c>
      <c r="F23" s="10">
        <v>25000</v>
      </c>
      <c r="G23" s="9">
        <v>26315.79</v>
      </c>
      <c r="H23" s="10">
        <v>25994.69</v>
      </c>
      <c r="I23" s="11">
        <v>25458.720000000001</v>
      </c>
      <c r="J23" s="10">
        <v>26798.65</v>
      </c>
    </row>
    <row r="24" spans="1:10" x14ac:dyDescent="0.3">
      <c r="A24" t="str">
        <f t="shared" si="0"/>
        <v>0176-0017KG</v>
      </c>
      <c r="B24" s="12" t="s">
        <v>72</v>
      </c>
      <c r="C24" s="12" t="s">
        <v>73</v>
      </c>
      <c r="D24" s="13" t="s">
        <v>16</v>
      </c>
      <c r="E24">
        <v>970</v>
      </c>
      <c r="F24">
        <v>1000</v>
      </c>
      <c r="G24" s="13">
        <v>1052.6300000000001</v>
      </c>
      <c r="H24">
        <v>1039.79</v>
      </c>
      <c r="I24" s="14">
        <v>1018.35</v>
      </c>
      <c r="J24">
        <v>1071.95</v>
      </c>
    </row>
    <row r="25" spans="1:10" x14ac:dyDescent="0.3">
      <c r="A25" t="str">
        <f t="shared" si="0"/>
        <v>0176-0018KG</v>
      </c>
      <c r="B25" s="9" t="s">
        <v>40</v>
      </c>
      <c r="C25" s="9" t="s">
        <v>71</v>
      </c>
      <c r="D25" s="9" t="s">
        <v>16</v>
      </c>
      <c r="E25" s="10">
        <v>727.5</v>
      </c>
      <c r="F25" s="10">
        <v>750</v>
      </c>
      <c r="G25" s="9">
        <v>789.47</v>
      </c>
      <c r="H25" s="10">
        <v>779.84</v>
      </c>
      <c r="I25" s="11">
        <v>763.76</v>
      </c>
      <c r="J25" s="10">
        <v>803.96</v>
      </c>
    </row>
    <row r="26" spans="1:10" x14ac:dyDescent="0.3">
      <c r="A26" t="str">
        <f t="shared" si="0"/>
        <v>0176-0019KG</v>
      </c>
      <c r="B26" s="9" t="s">
        <v>37</v>
      </c>
      <c r="C26" s="9" t="s">
        <v>68</v>
      </c>
      <c r="D26" s="9" t="s">
        <v>16</v>
      </c>
      <c r="E26" s="10">
        <v>1067</v>
      </c>
      <c r="F26" s="10">
        <v>1100</v>
      </c>
      <c r="G26" s="9">
        <v>1157.8900000000001</v>
      </c>
      <c r="H26" s="10">
        <v>1143.77</v>
      </c>
      <c r="I26" s="11">
        <v>1120.18</v>
      </c>
      <c r="J26" s="10">
        <v>1179.1400000000001</v>
      </c>
    </row>
    <row r="27" spans="1:10" x14ac:dyDescent="0.3">
      <c r="A27" t="str">
        <f t="shared" si="0"/>
        <v>0176-0034BAG</v>
      </c>
      <c r="B27" s="9" t="s">
        <v>74</v>
      </c>
      <c r="C27" s="9" t="s">
        <v>75</v>
      </c>
      <c r="D27" s="9" t="s">
        <v>82</v>
      </c>
      <c r="E27" s="10">
        <v>26675</v>
      </c>
      <c r="F27" s="10">
        <v>27500</v>
      </c>
      <c r="G27" s="9">
        <v>28947.37</v>
      </c>
      <c r="H27" s="10">
        <v>28594.16</v>
      </c>
      <c r="I27" s="11">
        <v>28004.59</v>
      </c>
      <c r="J27" s="10">
        <v>29478.51</v>
      </c>
    </row>
    <row r="28" spans="1:10" x14ac:dyDescent="0.3">
      <c r="A28" t="str">
        <f t="shared" si="0"/>
        <v>0176-0034KG</v>
      </c>
      <c r="B28" s="15" t="s">
        <v>74</v>
      </c>
      <c r="C28" s="15" t="s">
        <v>75</v>
      </c>
      <c r="D28" s="16" t="s">
        <v>16</v>
      </c>
      <c r="E28" s="17">
        <v>1067</v>
      </c>
      <c r="F28" s="17">
        <v>1100</v>
      </c>
      <c r="G28" s="16">
        <v>1157.8900000000001</v>
      </c>
      <c r="H28" s="17">
        <v>1143.77</v>
      </c>
      <c r="I28" s="18">
        <v>1120.18</v>
      </c>
      <c r="J28" s="17">
        <v>1179.1400000000001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QG-HO-ABDUL REHMAN NOOR-ACC</dc:creator>
  <cp:lastModifiedBy>QG-HO-BILAL HASSAN ANSARI-CMD</cp:lastModifiedBy>
  <dcterms:created xsi:type="dcterms:W3CDTF">2025-09-16T04:56:41Z</dcterms:created>
  <dcterms:modified xsi:type="dcterms:W3CDTF">2026-06-03T06:30:01Z</dcterms:modified>
</cp:coreProperties>
</file>