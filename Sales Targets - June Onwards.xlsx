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ood Qamer\Desktop\Masood Data\Desktop\QG\QG Business\2026 Planning\"/>
    </mc:Choice>
  </mc:AlternateContent>
  <xr:revisionPtr revIDLastSave="0" documentId="8_{E54FA051-4E2E-41CF-9B29-25CDD0E1E420}" xr6:coauthVersionLast="47" xr6:coauthVersionMax="47" xr10:uidLastSave="{00000000-0000-0000-0000-000000000000}"/>
  <bookViews>
    <workbookView xWindow="-108" yWindow="-108" windowWidth="23256" windowHeight="12456" xr2:uid="{5BF3F3AE-4B53-46BC-AFD4-376DA4792E2F}"/>
  </bookViews>
  <sheets>
    <sheet name="Post Customer Addition" sheetId="1" r:id="rId1"/>
    <sheet name="Recovery Targe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6" i="2" l="1"/>
  <c r="K46" i="2"/>
  <c r="G45" i="2"/>
  <c r="I44" i="2"/>
  <c r="I46" i="2" s="1"/>
  <c r="E44" i="2"/>
  <c r="D44" i="2"/>
  <c r="C44" i="2"/>
  <c r="B44" i="2"/>
  <c r="M43" i="2"/>
  <c r="H43" i="2"/>
  <c r="G43" i="2"/>
  <c r="N43" i="2" s="1"/>
  <c r="M42" i="2"/>
  <c r="N42" i="2" s="1"/>
  <c r="H42" i="2"/>
  <c r="G42" i="2"/>
  <c r="M41" i="2"/>
  <c r="H41" i="2"/>
  <c r="G41" i="2"/>
  <c r="N41" i="2" s="1"/>
  <c r="M40" i="2"/>
  <c r="H40" i="2"/>
  <c r="G40" i="2"/>
  <c r="N40" i="2" s="1"/>
  <c r="M39" i="2"/>
  <c r="N39" i="2" s="1"/>
  <c r="H39" i="2"/>
  <c r="G39" i="2"/>
  <c r="M38" i="2"/>
  <c r="H38" i="2"/>
  <c r="G38" i="2"/>
  <c r="N38" i="2" s="1"/>
  <c r="M37" i="2"/>
  <c r="H37" i="2"/>
  <c r="G37" i="2"/>
  <c r="N37" i="2" s="1"/>
  <c r="M36" i="2"/>
  <c r="N36" i="2" s="1"/>
  <c r="H36" i="2"/>
  <c r="G36" i="2"/>
  <c r="M35" i="2"/>
  <c r="H35" i="2"/>
  <c r="G35" i="2"/>
  <c r="N35" i="2" s="1"/>
  <c r="M34" i="2"/>
  <c r="H34" i="2"/>
  <c r="H44" i="2" s="1"/>
  <c r="G34" i="2"/>
  <c r="G44" i="2" s="1"/>
  <c r="L33" i="2"/>
  <c r="K33" i="2"/>
  <c r="E33" i="2"/>
  <c r="E46" i="2" s="1"/>
  <c r="D33" i="2"/>
  <c r="D46" i="2" s="1"/>
  <c r="C33" i="2"/>
  <c r="B33" i="2"/>
  <c r="B46" i="2" s="1"/>
  <c r="M32" i="2"/>
  <c r="N32" i="2" s="1"/>
  <c r="J32" i="2"/>
  <c r="I32" i="2"/>
  <c r="H32" i="2"/>
  <c r="G32" i="2"/>
  <c r="M31" i="2"/>
  <c r="J31" i="2"/>
  <c r="I31" i="2"/>
  <c r="H31" i="2"/>
  <c r="G31" i="2"/>
  <c r="N31" i="2" s="1"/>
  <c r="M30" i="2"/>
  <c r="N30" i="2" s="1"/>
  <c r="J30" i="2"/>
  <c r="I30" i="2"/>
  <c r="H30" i="2"/>
  <c r="G30" i="2"/>
  <c r="M29" i="2"/>
  <c r="J29" i="2"/>
  <c r="I29" i="2"/>
  <c r="H29" i="2"/>
  <c r="G29" i="2"/>
  <c r="N29" i="2" s="1"/>
  <c r="M28" i="2"/>
  <c r="N28" i="2" s="1"/>
  <c r="J28" i="2"/>
  <c r="I28" i="2"/>
  <c r="H28" i="2"/>
  <c r="G28" i="2"/>
  <c r="M27" i="2"/>
  <c r="J27" i="2"/>
  <c r="I27" i="2"/>
  <c r="H27" i="2"/>
  <c r="G27" i="2"/>
  <c r="N27" i="2" s="1"/>
  <c r="M26" i="2"/>
  <c r="N26" i="2" s="1"/>
  <c r="J26" i="2"/>
  <c r="I26" i="2"/>
  <c r="H26" i="2"/>
  <c r="G26" i="2"/>
  <c r="M25" i="2"/>
  <c r="J25" i="2"/>
  <c r="I25" i="2"/>
  <c r="H25" i="2"/>
  <c r="G25" i="2"/>
  <c r="N25" i="2" s="1"/>
  <c r="M24" i="2"/>
  <c r="N24" i="2" s="1"/>
  <c r="J24" i="2"/>
  <c r="I24" i="2"/>
  <c r="H24" i="2"/>
  <c r="G24" i="2"/>
  <c r="M23" i="2"/>
  <c r="J23" i="2"/>
  <c r="J33" i="2" s="1"/>
  <c r="I23" i="2"/>
  <c r="I33" i="2" s="1"/>
  <c r="H23" i="2"/>
  <c r="H33" i="2" s="1"/>
  <c r="G23" i="2"/>
  <c r="N23" i="2" s="1"/>
  <c r="M22" i="2"/>
  <c r="N22" i="2" s="1"/>
  <c r="J22" i="2"/>
  <c r="I22" i="2"/>
  <c r="H22" i="2"/>
  <c r="G22" i="2"/>
  <c r="L21" i="2"/>
  <c r="K21" i="2"/>
  <c r="J21" i="2"/>
  <c r="I21" i="2"/>
  <c r="H21" i="2"/>
  <c r="G21" i="2"/>
  <c r="E21" i="2"/>
  <c r="D21" i="2"/>
  <c r="C21" i="2"/>
  <c r="B21" i="2"/>
  <c r="M20" i="2"/>
  <c r="J20" i="2"/>
  <c r="I20" i="2"/>
  <c r="H20" i="2"/>
  <c r="G20" i="2"/>
  <c r="N20" i="2" s="1"/>
  <c r="M19" i="2"/>
  <c r="N19" i="2" s="1"/>
  <c r="J19" i="2"/>
  <c r="I19" i="2"/>
  <c r="H19" i="2"/>
  <c r="G19" i="2"/>
  <c r="M18" i="2"/>
  <c r="J18" i="2"/>
  <c r="I18" i="2"/>
  <c r="H18" i="2"/>
  <c r="G18" i="2"/>
  <c r="N18" i="2" s="1"/>
  <c r="M17" i="2"/>
  <c r="N17" i="2" s="1"/>
  <c r="J17" i="2"/>
  <c r="I17" i="2"/>
  <c r="H17" i="2"/>
  <c r="G17" i="2"/>
  <c r="M16" i="2"/>
  <c r="M21" i="2" s="1"/>
  <c r="J16" i="2"/>
  <c r="I16" i="2"/>
  <c r="H16" i="2"/>
  <c r="G16" i="2"/>
  <c r="N16" i="2" s="1"/>
  <c r="N21" i="2" s="1"/>
  <c r="M15" i="2"/>
  <c r="L15" i="2"/>
  <c r="K15" i="2"/>
  <c r="E15" i="2"/>
  <c r="D15" i="2"/>
  <c r="C15" i="2"/>
  <c r="B15" i="2"/>
  <c r="M14" i="2"/>
  <c r="N14" i="2" s="1"/>
  <c r="J14" i="2"/>
  <c r="I14" i="2"/>
  <c r="H14" i="2"/>
  <c r="G14" i="2"/>
  <c r="M13" i="2"/>
  <c r="G13" i="2"/>
  <c r="N13" i="2" s="1"/>
  <c r="M12" i="2"/>
  <c r="J12" i="2"/>
  <c r="I12" i="2"/>
  <c r="H12" i="2"/>
  <c r="N12" i="2" s="1"/>
  <c r="G12" i="2"/>
  <c r="M11" i="2"/>
  <c r="J11" i="2"/>
  <c r="I11" i="2"/>
  <c r="H11" i="2"/>
  <c r="G11" i="2"/>
  <c r="N11" i="2" s="1"/>
  <c r="M10" i="2"/>
  <c r="J10" i="2"/>
  <c r="J15" i="2" s="1"/>
  <c r="I10" i="2"/>
  <c r="I15" i="2" s="1"/>
  <c r="H10" i="2"/>
  <c r="G10" i="2"/>
  <c r="L9" i="2"/>
  <c r="K9" i="2"/>
  <c r="E9" i="2"/>
  <c r="D9" i="2"/>
  <c r="C9" i="2"/>
  <c r="B9" i="2"/>
  <c r="M8" i="2"/>
  <c r="J8" i="2"/>
  <c r="I8" i="2"/>
  <c r="H8" i="2"/>
  <c r="G8" i="2"/>
  <c r="N8" i="2" s="1"/>
  <c r="M7" i="2"/>
  <c r="J7" i="2"/>
  <c r="I7" i="2"/>
  <c r="H7" i="2"/>
  <c r="N7" i="2" s="1"/>
  <c r="G7" i="2"/>
  <c r="M6" i="2"/>
  <c r="J6" i="2"/>
  <c r="I6" i="2"/>
  <c r="H6" i="2"/>
  <c r="G6" i="2"/>
  <c r="N6" i="2" s="1"/>
  <c r="G5" i="2"/>
  <c r="N5" i="2" s="1"/>
  <c r="M4" i="2"/>
  <c r="J4" i="2"/>
  <c r="N4" i="2" s="1"/>
  <c r="I4" i="2"/>
  <c r="H4" i="2"/>
  <c r="G4" i="2"/>
  <c r="M3" i="2"/>
  <c r="M9" i="2" s="1"/>
  <c r="J3" i="2"/>
  <c r="J9" i="2" s="1"/>
  <c r="I3" i="2"/>
  <c r="I9" i="2" s="1"/>
  <c r="H3" i="2"/>
  <c r="H9" i="2" s="1"/>
  <c r="G3" i="2"/>
  <c r="N3" i="2" s="1"/>
  <c r="L46" i="1"/>
  <c r="N45" i="1"/>
  <c r="N44" i="1"/>
  <c r="M44" i="1"/>
  <c r="L44" i="1"/>
  <c r="K44" i="1"/>
  <c r="K46" i="1" s="1"/>
  <c r="J44" i="1"/>
  <c r="J46" i="1" s="1"/>
  <c r="I44" i="1"/>
  <c r="I46" i="1" s="1"/>
  <c r="H44" i="1"/>
  <c r="H46" i="1" s="1"/>
  <c r="G44" i="1"/>
  <c r="F44" i="1"/>
  <c r="F46" i="1" s="1"/>
  <c r="E44" i="1"/>
  <c r="E46" i="1" s="1"/>
  <c r="D44" i="1"/>
  <c r="D46" i="1" s="1"/>
  <c r="C44" i="1"/>
  <c r="C46" i="1" s="1"/>
  <c r="B44" i="1"/>
  <c r="N43" i="1"/>
  <c r="N42" i="1"/>
  <c r="N41" i="1"/>
  <c r="N40" i="1"/>
  <c r="N39" i="1"/>
  <c r="N38" i="1"/>
  <c r="N37" i="1"/>
  <c r="N36" i="1"/>
  <c r="N35" i="1"/>
  <c r="N34" i="1"/>
  <c r="M33" i="1"/>
  <c r="L33" i="1"/>
  <c r="K33" i="1"/>
  <c r="J33" i="1"/>
  <c r="I33" i="1"/>
  <c r="H33" i="1"/>
  <c r="G33" i="1"/>
  <c r="F33" i="1"/>
  <c r="E33" i="1"/>
  <c r="D33" i="1"/>
  <c r="C33" i="1"/>
  <c r="B33" i="1"/>
  <c r="N32" i="1"/>
  <c r="N33" i="1" s="1"/>
  <c r="N31" i="1"/>
  <c r="N30" i="1"/>
  <c r="N29" i="1"/>
  <c r="N28" i="1"/>
  <c r="N27" i="1"/>
  <c r="N26" i="1"/>
  <c r="N25" i="1"/>
  <c r="N24" i="1"/>
  <c r="N23" i="1"/>
  <c r="N22" i="1"/>
  <c r="M21" i="1"/>
  <c r="L21" i="1"/>
  <c r="K21" i="1"/>
  <c r="J21" i="1"/>
  <c r="I21" i="1"/>
  <c r="H21" i="1"/>
  <c r="G21" i="1"/>
  <c r="F21" i="1"/>
  <c r="E21" i="1"/>
  <c r="D21" i="1"/>
  <c r="C21" i="1"/>
  <c r="B21" i="1"/>
  <c r="N20" i="1"/>
  <c r="N21" i="1" s="1"/>
  <c r="N19" i="1"/>
  <c r="N18" i="1"/>
  <c r="N17" i="1"/>
  <c r="N16" i="1"/>
  <c r="M15" i="1"/>
  <c r="L15" i="1"/>
  <c r="K15" i="1"/>
  <c r="J15" i="1"/>
  <c r="I15" i="1"/>
  <c r="H15" i="1"/>
  <c r="G15" i="1"/>
  <c r="F15" i="1"/>
  <c r="E15" i="1"/>
  <c r="D15" i="1"/>
  <c r="C15" i="1"/>
  <c r="B15" i="1"/>
  <c r="N14" i="1"/>
  <c r="N13" i="1"/>
  <c r="N12" i="1"/>
  <c r="N11" i="1"/>
  <c r="N10" i="1"/>
  <c r="N15" i="1" s="1"/>
  <c r="M9" i="1"/>
  <c r="L9" i="1"/>
  <c r="K9" i="1"/>
  <c r="J9" i="1"/>
  <c r="I9" i="1"/>
  <c r="H9" i="1"/>
  <c r="G9" i="1"/>
  <c r="F9" i="1"/>
  <c r="E9" i="1"/>
  <c r="D9" i="1"/>
  <c r="C9" i="1"/>
  <c r="B9" i="1"/>
  <c r="N8" i="1"/>
  <c r="N7" i="1"/>
  <c r="N6" i="1"/>
  <c r="N5" i="1"/>
  <c r="N4" i="1"/>
  <c r="N3" i="1"/>
  <c r="M33" i="2" l="1"/>
  <c r="M46" i="2" s="1"/>
  <c r="N9" i="1"/>
  <c r="G46" i="1"/>
  <c r="N33" i="2"/>
  <c r="J46" i="2"/>
  <c r="C46" i="2"/>
  <c r="B46" i="1"/>
  <c r="H15" i="2"/>
  <c r="H46" i="2" s="1"/>
  <c r="N10" i="2"/>
  <c r="N15" i="2" s="1"/>
  <c r="M46" i="1"/>
  <c r="G9" i="2"/>
  <c r="N9" i="2" s="1"/>
  <c r="N45" i="2"/>
  <c r="N34" i="2"/>
  <c r="N44" i="2" s="1"/>
  <c r="G15" i="2"/>
  <c r="G33" i="2"/>
  <c r="G46" i="2" l="1"/>
  <c r="N46" i="2" s="1"/>
  <c r="N46" i="1"/>
</calcChain>
</file>

<file path=xl/sharedStrings.xml><?xml version="1.0" encoding="utf-8"?>
<sst xmlns="http://schemas.openxmlformats.org/spreadsheetml/2006/main" count="118" uniqueCount="59">
  <si>
    <t>Recovery Targets 2026 (Post Customer Transfer)</t>
  </si>
  <si>
    <t>Sales Person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</si>
  <si>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</si>
  <si>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</si>
  <si>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</si>
  <si>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</si>
  <si>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</si>
  <si>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</si>
  <si>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</si>
  <si>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</si>
  <si>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</si>
  <si>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</si>
  <si>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</si>
  <si>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</si>
  <si>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</si>
  <si>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Farhan Shah</t>
  </si>
  <si>
    <t>Hassan Shafi</t>
  </si>
  <si>
    <t>M. Ali</t>
  </si>
  <si>
    <t>Mobeen</t>
  </si>
  <si>
    <t>Shabbir</t>
  </si>
  <si>
    <t>Bilal</t>
  </si>
  <si>
    <t>Commercial</t>
  </si>
  <si>
    <t>Ali Raza</t>
  </si>
  <si>
    <t>Adnan</t>
  </si>
  <si>
    <t>Asim</t>
  </si>
  <si>
    <t>Sheryar Anwar</t>
  </si>
  <si>
    <t>Usman</t>
  </si>
  <si>
    <t>Corporate</t>
  </si>
  <si>
    <t>ASQ</t>
  </si>
  <si>
    <t>KHQ</t>
  </si>
  <si>
    <t>AWQ</t>
  </si>
  <si>
    <t>WJQ</t>
  </si>
  <si>
    <t>WZQ</t>
  </si>
  <si>
    <t>Directors</t>
  </si>
  <si>
    <t>AAB</t>
  </si>
  <si>
    <t>Abdul Rafay</t>
  </si>
  <si>
    <t>Asim Javed</t>
  </si>
  <si>
    <t>Ghouri, Mr. Mubeen Khan</t>
  </si>
  <si>
    <t>Imran Shah</t>
  </si>
  <si>
    <t>Shahzaib</t>
  </si>
  <si>
    <t>Kashif</t>
  </si>
  <si>
    <t>Abdullah Rauf</t>
  </si>
  <si>
    <t>Tajammul Ahmed</t>
  </si>
  <si>
    <t>Umair Quadri</t>
  </si>
  <si>
    <t>Waqar Ali</t>
  </si>
  <si>
    <t>South</t>
  </si>
  <si>
    <t>Sheeraz,</t>
  </si>
  <si>
    <t>Aqib, Mr. Muhammad</t>
  </si>
  <si>
    <t>Fahad Khan</t>
  </si>
  <si>
    <t>Ahmed Dawood</t>
  </si>
  <si>
    <t>Waqar Ahmed</t>
  </si>
  <si>
    <t>Faazil</t>
  </si>
  <si>
    <t>Usama</t>
  </si>
  <si>
    <t>Zeeshan, Mr. Muhammad</t>
  </si>
  <si>
    <t>Haider Ali,</t>
  </si>
  <si>
    <t>Arif,</t>
  </si>
  <si>
    <t xml:space="preserve">HBM </t>
  </si>
  <si>
    <t>Mohsin Gilliani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</si>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</sst>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.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ptos Display"/>
      <family val="2"/>
    </font>
    <font>
      <b/>
      <sz val="20"/>
      <color theme="1"/>
      <name val="Aptos Display"/>
      <family val="2"/>
    </font>
    <font>
      <sz val="10"/>
      <name val="Aptos Display"/>
      <family val="2"/>
    </font>
    <font>
      <sz val="10"/>
      <color theme="1"/>
      <name val="Aptos Display"/>
      <family val="2"/>
    </font>
    <font>
      <b/>
      <sz val="1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4" tint="0.79998168889431442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165" fontId="5" fillId="0" borderId="5" xfId="1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4" fillId="0" borderId="5" xfId="1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0" fontId="2" fillId="3" borderId="5" xfId="0" applyFont="1" applyFill="1" applyBorder="1" applyAlignment="1">
      <alignment horizontal="left" vertical="center"/>
    </xf>
    <xf numFmtId="165" fontId="2" fillId="3" borderId="5" xfId="1" applyNumberFormat="1" applyFont="1" applyFill="1" applyBorder="1" applyAlignment="1">
      <alignment vertical="center"/>
    </xf>
    <xf numFmtId="165" fontId="4" fillId="0" borderId="5" xfId="1" applyNumberFormat="1" applyFont="1" applyBorder="1" applyAlignment="1">
      <alignment vertical="center"/>
    </xf>
    <xf numFmtId="0" fontId="6" fillId="3" borderId="5" xfId="0" applyFont="1" applyFill="1" applyBorder="1" applyAlignment="1">
      <alignment horizontal="left" vertical="center"/>
    </xf>
    <xf numFmtId="165" fontId="6" fillId="3" borderId="5" xfId="1" applyNumberFormat="1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9" fontId="4" fillId="0" borderId="0" xfId="2" applyFont="1" applyAlignment="1">
      <alignment vertical="center"/>
    </xf>
    <xf numFmtId="166" fontId="4" fillId="0" borderId="0" xfId="2" applyNumberFormat="1" applyFont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4552-6C2B-4040-B550-E2E250334F18}">
  <dimension ref="A1:P47"/>
  <sheetViews>
    <sheetView tabSelected="1" workbookViewId="0">
      <pane xSplit="1" ySplit="2" topLeftCell="B3" activePane="bottomRight" state="frozen"/>
      <selection activeCell="H46" sqref="H46"/>
      <selection pane="topRight" activeCell="H46" sqref="H46"/>
      <selection pane="bottomLeft" activeCell="H46" sqref="H46"/>
      <selection pane="bottomRight" activeCell="H46" sqref="H46"/>
    </sheetView>
  </sheetViews>
  <sheetFormatPr defaultRowHeight="13.2"/>
  <cols>
    <col min="1" max="1" width="28" style="19" customWidth="1"/>
    <col min="2" max="13" width="12.21875" style="12" customWidth="1"/>
    <col min="14" max="14" width="14.109375" style="12" bestFit="1" customWidth="1"/>
    <col min="15" max="15" width="8.88671875" style="12"/>
    <col min="16" max="16" width="11.44140625" style="12" bestFit="1" customWidth="1"/>
    <col min="17" max="16384" width="8.88671875" style="12"/>
  </cols>
  <sheetData>
    <row r="1" spans="1:16" s="5" customFormat="1" ht="24.6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6" s="5" customForma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</row>
    <row r="3" spans="1:16" s="5" customFormat="1">
      <c r="A3" s="8" t="s">
        <v>15</v>
      </c>
      <c r="B3" s="9">
        <v>44320519.809025288</v>
      </c>
      <c r="C3" s="9">
        <v>50122943.21657411</v>
      </c>
      <c r="D3" s="9">
        <v>46791649.294877306</v>
      </c>
      <c r="E3" s="9">
        <v>48838866.216471642</v>
      </c>
      <c r="F3" s="9">
        <v>41265635.33589258</v>
      </c>
      <c r="G3" s="9">
        <v>30285017.289323501</v>
      </c>
      <c r="H3" s="9">
        <v>44429246.285106674</v>
      </c>
      <c r="I3" s="9">
        <v>36881096.913506337</v>
      </c>
      <c r="J3" s="9">
        <v>51734801.97278171</v>
      </c>
      <c r="K3" s="9">
        <v>53216987.575176209</v>
      </c>
      <c r="L3" s="9">
        <v>53481017.358844377</v>
      </c>
      <c r="M3" s="9">
        <v>47792569.506171905</v>
      </c>
      <c r="N3" s="9">
        <f t="shared" ref="N3:N45" si="0">SUM(B3:M3)</f>
        <v>549160350.77375174</v>
      </c>
    </row>
    <row r="4" spans="1:16">
      <c r="A4" s="10" t="s">
        <v>16</v>
      </c>
      <c r="B4" s="11">
        <v>31402774.562048536</v>
      </c>
      <c r="C4" s="11">
        <v>35514012.313003436</v>
      </c>
      <c r="D4" s="11">
        <v>33153663.82264876</v>
      </c>
      <c r="E4" s="11">
        <v>34604194.902732044</v>
      </c>
      <c r="F4" s="11">
        <v>30265057.215613011</v>
      </c>
      <c r="G4" s="11">
        <v>23018764.436219007</v>
      </c>
      <c r="H4" s="11">
        <v>32383332.219850983</v>
      </c>
      <c r="I4" s="11">
        <v>26953362.501187213</v>
      </c>
      <c r="J4" s="11">
        <v>37683409.085519016</v>
      </c>
      <c r="K4" s="11">
        <v>38885280.674827859</v>
      </c>
      <c r="L4" s="11">
        <v>39001546.381682724</v>
      </c>
      <c r="M4" s="11">
        <v>35040882.017637484</v>
      </c>
      <c r="N4" s="9">
        <f t="shared" si="0"/>
        <v>397906280.13297009</v>
      </c>
    </row>
    <row r="5" spans="1:16">
      <c r="A5" s="10" t="s">
        <v>17</v>
      </c>
      <c r="B5" s="11">
        <v>5773755.1504867161</v>
      </c>
      <c r="C5" s="11">
        <v>6529652.6936337054</v>
      </c>
      <c r="D5" s="11">
        <v>6095675.9370193742</v>
      </c>
      <c r="E5" s="11">
        <v>6362372.4761428135</v>
      </c>
      <c r="F5" s="11">
        <v>5375787.0075837504</v>
      </c>
      <c r="G5" s="11">
        <v>4075584.6385744405</v>
      </c>
      <c r="H5" s="11">
        <v>5787919.2454471122</v>
      </c>
      <c r="I5" s="11">
        <v>4804601.2135578347</v>
      </c>
      <c r="J5" s="11">
        <v>6967118.1827162812</v>
      </c>
      <c r="K5" s="11">
        <v>6932722.3017585501</v>
      </c>
      <c r="L5" s="11">
        <v>6967118.1827162812</v>
      </c>
      <c r="M5" s="11">
        <v>6967118.1827162812</v>
      </c>
      <c r="N5" s="9">
        <f t="shared" si="0"/>
        <v>72639425.21235314</v>
      </c>
    </row>
    <row r="6" spans="1:16">
      <c r="A6" s="10" t="s">
        <v>18</v>
      </c>
      <c r="B6" s="11">
        <v>30327958.13232442</v>
      </c>
      <c r="C6" s="11">
        <v>34298481.378180504</v>
      </c>
      <c r="D6" s="11">
        <v>32018920.059427336</v>
      </c>
      <c r="E6" s="11">
        <v>33419804.104863457</v>
      </c>
      <c r="F6" s="11">
        <v>53801369.885563612</v>
      </c>
      <c r="G6" s="11">
        <v>41623625.8600602</v>
      </c>
      <c r="H6" s="11">
        <v>50097294.057569697</v>
      </c>
      <c r="I6" s="11">
        <v>45695154.884304285</v>
      </c>
      <c r="J6" s="11">
        <v>60978953.166410789</v>
      </c>
      <c r="K6" s="11">
        <v>65769733.611291856</v>
      </c>
      <c r="L6" s="11">
        <v>64187464.849128045</v>
      </c>
      <c r="M6" s="11">
        <v>62033174.966764539</v>
      </c>
      <c r="N6" s="9">
        <f t="shared" si="0"/>
        <v>574251934.95588875</v>
      </c>
    </row>
    <row r="7" spans="1:16">
      <c r="A7" s="10" t="s">
        <v>19</v>
      </c>
      <c r="B7" s="11">
        <v>18472071.288582679</v>
      </c>
      <c r="C7" s="11">
        <v>20890426.92368415</v>
      </c>
      <c r="D7" s="11">
        <v>19501997.837789841</v>
      </c>
      <c r="E7" s="11">
        <v>20355244.529882621</v>
      </c>
      <c r="F7" s="11">
        <v>85608152.33818154</v>
      </c>
      <c r="G7" s="11">
        <v>70298320.227264807</v>
      </c>
      <c r="H7" s="11">
        <v>79010071.231963605</v>
      </c>
      <c r="I7" s="11">
        <v>73478296.880178601</v>
      </c>
      <c r="J7" s="11">
        <v>94210352.115541086</v>
      </c>
      <c r="K7" s="11">
        <v>105554663.01196432</v>
      </c>
      <c r="L7" s="11">
        <v>100657400.26634687</v>
      </c>
      <c r="M7" s="11">
        <v>103223699.33998649</v>
      </c>
      <c r="N7" s="9">
        <f t="shared" si="0"/>
        <v>791260695.99136651</v>
      </c>
      <c r="P7" s="13"/>
    </row>
    <row r="8" spans="1:16">
      <c r="A8" s="10" t="s">
        <v>20</v>
      </c>
      <c r="B8" s="11"/>
      <c r="C8" s="11"/>
      <c r="D8" s="11"/>
      <c r="E8" s="11"/>
      <c r="F8" s="11">
        <v>299664.90776878514</v>
      </c>
      <c r="G8" s="11">
        <v>248695.08562070405</v>
      </c>
      <c r="H8" s="11">
        <v>263690.65010715585</v>
      </c>
      <c r="I8" s="11">
        <v>239812.03391035876</v>
      </c>
      <c r="J8" s="11">
        <v>299825.12755243626</v>
      </c>
      <c r="K8" s="11">
        <v>344094.57118925202</v>
      </c>
      <c r="L8" s="11">
        <v>323428.98481179785</v>
      </c>
      <c r="M8" s="11">
        <v>343805.03744435759</v>
      </c>
      <c r="N8" s="9">
        <f t="shared" si="0"/>
        <v>2363016.3984048474</v>
      </c>
    </row>
    <row r="9" spans="1:16">
      <c r="A9" s="14" t="s">
        <v>21</v>
      </c>
      <c r="B9" s="15">
        <f>SUM(B3:B8)</f>
        <v>130297078.94246766</v>
      </c>
      <c r="C9" s="15">
        <f t="shared" ref="C9:M9" si="1">SUM(C3:C8)</f>
        <v>147355516.52507591</v>
      </c>
      <c r="D9" s="15">
        <f t="shared" si="1"/>
        <v>137561906.95176262</v>
      </c>
      <c r="E9" s="15">
        <f t="shared" si="1"/>
        <v>143580482.23009256</v>
      </c>
      <c r="F9" s="15">
        <f t="shared" si="1"/>
        <v>216615666.69060329</v>
      </c>
      <c r="G9" s="15">
        <f t="shared" si="1"/>
        <v>169550007.53706264</v>
      </c>
      <c r="H9" s="15">
        <f t="shared" si="1"/>
        <v>211971553.69004524</v>
      </c>
      <c r="I9" s="15">
        <f t="shared" si="1"/>
        <v>188052324.42664465</v>
      </c>
      <c r="J9" s="15">
        <f t="shared" si="1"/>
        <v>251874459.65052134</v>
      </c>
      <c r="K9" s="15">
        <f t="shared" si="1"/>
        <v>270703481.74620801</v>
      </c>
      <c r="L9" s="15">
        <f t="shared" si="1"/>
        <v>264617976.0235301</v>
      </c>
      <c r="M9" s="15">
        <f t="shared" si="1"/>
        <v>255401249.05072105</v>
      </c>
      <c r="N9" s="15">
        <f t="shared" si="0"/>
        <v>2387581703.464735</v>
      </c>
    </row>
    <row r="10" spans="1:16">
      <c r="A10" s="10" t="s">
        <v>22</v>
      </c>
      <c r="B10" s="16">
        <v>31355887.096812844</v>
      </c>
      <c r="C10" s="16">
        <v>36385831.136255659</v>
      </c>
      <c r="D10" s="16">
        <v>32007876.429995991</v>
      </c>
      <c r="E10" s="16">
        <v>26926961.907191209</v>
      </c>
      <c r="F10" s="16">
        <v>31259997.623601258</v>
      </c>
      <c r="G10" s="16">
        <v>26609872.978393234</v>
      </c>
      <c r="H10" s="16">
        <v>26942061.014411826</v>
      </c>
      <c r="I10" s="16">
        <v>30187036.906253505</v>
      </c>
      <c r="J10" s="16">
        <v>31485600.256419688</v>
      </c>
      <c r="K10" s="16">
        <v>31055651.786079321</v>
      </c>
      <c r="L10" s="16">
        <v>33649398.020020224</v>
      </c>
      <c r="M10" s="16">
        <v>33752814.015142858</v>
      </c>
      <c r="N10" s="9">
        <f t="shared" si="0"/>
        <v>371618989.17057765</v>
      </c>
    </row>
    <row r="11" spans="1:16">
      <c r="A11" s="10" t="s">
        <v>23</v>
      </c>
      <c r="B11" s="16">
        <v>42298036.472152725</v>
      </c>
      <c r="C11" s="16">
        <v>49083261.70836889</v>
      </c>
      <c r="D11" s="16">
        <v>43177548.141182765</v>
      </c>
      <c r="E11" s="16">
        <v>36323565.438223869</v>
      </c>
      <c r="F11" s="16">
        <v>41637938.351403147</v>
      </c>
      <c r="G11" s="16">
        <v>35455351.036956236</v>
      </c>
      <c r="H11" s="16">
        <v>35876902.377221718</v>
      </c>
      <c r="I11" s="16">
        <v>40296557.860387355</v>
      </c>
      <c r="J11" s="16">
        <v>41941984.940288864</v>
      </c>
      <c r="K11" s="16">
        <v>41283591.8442664</v>
      </c>
      <c r="L11" s="16">
        <v>39232836.529548146</v>
      </c>
      <c r="M11" s="16">
        <v>44922485.726329632</v>
      </c>
      <c r="N11" s="9">
        <f t="shared" si="0"/>
        <v>491530060.42632973</v>
      </c>
    </row>
    <row r="12" spans="1:16">
      <c r="A12" s="10" t="s">
        <v>24</v>
      </c>
      <c r="B12" s="16">
        <v>50905839.303582177</v>
      </c>
      <c r="C12" s="16">
        <v>59071882.324062161</v>
      </c>
      <c r="D12" s="16">
        <v>51964334.766338341</v>
      </c>
      <c r="E12" s="16">
        <v>43715541.886884861</v>
      </c>
      <c r="F12" s="16">
        <v>48280988.028019294</v>
      </c>
      <c r="G12" s="16">
        <v>40151557.081405997</v>
      </c>
      <c r="H12" s="16">
        <v>41567299.350094251</v>
      </c>
      <c r="I12" s="16">
        <v>47032226.619676284</v>
      </c>
      <c r="J12" s="16">
        <v>48645930.534735389</v>
      </c>
      <c r="K12" s="16">
        <v>47583144.330139391</v>
      </c>
      <c r="L12" s="16">
        <v>48645930.534735389</v>
      </c>
      <c r="M12" s="16">
        <v>48645930.534735389</v>
      </c>
      <c r="N12" s="9">
        <f t="shared" si="0"/>
        <v>576210605.29440892</v>
      </c>
    </row>
    <row r="13" spans="1:16">
      <c r="A13" s="10" t="s">
        <v>25</v>
      </c>
      <c r="B13" s="16">
        <v>28651068.677743755</v>
      </c>
      <c r="C13" s="16">
        <v>33247120.183935467</v>
      </c>
      <c r="D13" s="16">
        <v>29246816.17181116</v>
      </c>
      <c r="E13" s="16">
        <v>24604190.993031822</v>
      </c>
      <c r="F13" s="16">
        <v>27173737.291131627</v>
      </c>
      <c r="G13" s="16">
        <v>23161116.765095528</v>
      </c>
      <c r="H13" s="16">
        <v>23395106.823119964</v>
      </c>
      <c r="I13" s="16">
        <v>26470903.404842395</v>
      </c>
      <c r="J13" s="16">
        <v>27379135.983430859</v>
      </c>
      <c r="K13" s="16">
        <v>26780973.553458001</v>
      </c>
      <c r="L13" s="16">
        <v>25462915.914029893</v>
      </c>
      <c r="M13" s="16">
        <v>22794404.099626083</v>
      </c>
      <c r="N13" s="9">
        <f t="shared" si="0"/>
        <v>318367489.86125654</v>
      </c>
    </row>
    <row r="14" spans="1:16">
      <c r="A14" s="10" t="s">
        <v>26</v>
      </c>
      <c r="B14" s="16">
        <v>15770538.434121009</v>
      </c>
      <c r="C14" s="16">
        <v>18300364.031164117</v>
      </c>
      <c r="D14" s="16">
        <v>16098458.444990257</v>
      </c>
      <c r="E14" s="16">
        <v>13542997.088882711</v>
      </c>
      <c r="F14" s="16">
        <v>15697935.492146512</v>
      </c>
      <c r="G14" s="16">
        <v>13363287.146305254</v>
      </c>
      <c r="H14" s="16">
        <v>13529142.37157123</v>
      </c>
      <c r="I14" s="16">
        <v>15163155.140057946</v>
      </c>
      <c r="J14" s="16">
        <v>15811389.987537513</v>
      </c>
      <c r="K14" s="16">
        <v>19150735.768429093</v>
      </c>
      <c r="L14" s="16">
        <v>19099664.254779059</v>
      </c>
      <c r="M14" s="16">
        <v>13396484.03658597</v>
      </c>
      <c r="N14" s="9">
        <f t="shared" si="0"/>
        <v>188924152.19657066</v>
      </c>
    </row>
    <row r="15" spans="1:16">
      <c r="A15" s="17" t="s">
        <v>27</v>
      </c>
      <c r="B15" s="18">
        <f>SUM(B10:B14)</f>
        <v>168981369.98441252</v>
      </c>
      <c r="C15" s="18">
        <f t="shared" ref="C15:N15" si="2">SUM(C10:C14)</f>
        <v>196088459.38378629</v>
      </c>
      <c r="D15" s="18">
        <f t="shared" si="2"/>
        <v>172495033.95431852</v>
      </c>
      <c r="E15" s="18">
        <f t="shared" si="2"/>
        <v>145113257.31421447</v>
      </c>
      <c r="F15" s="18">
        <f t="shared" si="2"/>
        <v>164050596.78630185</v>
      </c>
      <c r="G15" s="18">
        <f t="shared" si="2"/>
        <v>138741185.00815627</v>
      </c>
      <c r="H15" s="18">
        <f t="shared" si="2"/>
        <v>141310511.93641901</v>
      </c>
      <c r="I15" s="18">
        <f t="shared" si="2"/>
        <v>159149879.93121749</v>
      </c>
      <c r="J15" s="18">
        <f t="shared" si="2"/>
        <v>165264041.70241231</v>
      </c>
      <c r="K15" s="18">
        <f t="shared" si="2"/>
        <v>165854097.28237221</v>
      </c>
      <c r="L15" s="18">
        <f t="shared" si="2"/>
        <v>166090745.25311273</v>
      </c>
      <c r="M15" s="18">
        <f t="shared" si="2"/>
        <v>163512118.41241992</v>
      </c>
      <c r="N15" s="18">
        <f t="shared" si="2"/>
        <v>1946651296.9491436</v>
      </c>
    </row>
    <row r="16" spans="1:16">
      <c r="A16" s="10" t="s">
        <v>28</v>
      </c>
      <c r="B16" s="16">
        <v>113945590.896264</v>
      </c>
      <c r="C16" s="16">
        <v>117578493.798241</v>
      </c>
      <c r="D16" s="16">
        <v>124345770.88323708</v>
      </c>
      <c r="E16" s="16">
        <v>113410826.36224601</v>
      </c>
      <c r="F16" s="16">
        <v>5144814.0970016681</v>
      </c>
      <c r="G16" s="16">
        <v>4003573.8669440947</v>
      </c>
      <c r="H16" s="16">
        <v>4621746.3951819651</v>
      </c>
      <c r="I16" s="16">
        <v>4538846.0294840643</v>
      </c>
      <c r="J16" s="16">
        <v>5498436.9326658938</v>
      </c>
      <c r="K16" s="16">
        <v>5811835.2399475845</v>
      </c>
      <c r="L16" s="16">
        <v>5795087.3136941697</v>
      </c>
      <c r="M16" s="16">
        <v>5633870.2262358703</v>
      </c>
      <c r="N16" s="9">
        <f t="shared" si="0"/>
        <v>510328892.04114342</v>
      </c>
    </row>
    <row r="17" spans="1:14">
      <c r="A17" s="10" t="s">
        <v>29</v>
      </c>
      <c r="B17" s="16">
        <v>1757045.7713843801</v>
      </c>
      <c r="C17" s="16">
        <v>1666786.1586690086</v>
      </c>
      <c r="D17" s="16">
        <v>1762718.7005206191</v>
      </c>
      <c r="E17" s="16">
        <v>1749464.9792288223</v>
      </c>
      <c r="F17" s="16">
        <v>1782513.554737475</v>
      </c>
      <c r="G17" s="16">
        <v>1387110.3116008784</v>
      </c>
      <c r="H17" s="16">
        <v>1601287.3236317919</v>
      </c>
      <c r="I17" s="16">
        <v>1572564.9980505195</v>
      </c>
      <c r="J17" s="16">
        <v>1905032.5585249076</v>
      </c>
      <c r="K17" s="16">
        <v>2013615.0495981926</v>
      </c>
      <c r="L17" s="16">
        <v>2007812.4287458952</v>
      </c>
      <c r="M17" s="16">
        <v>1951955.8636239031</v>
      </c>
      <c r="N17" s="9">
        <f t="shared" si="0"/>
        <v>21157907.698316392</v>
      </c>
    </row>
    <row r="18" spans="1:14">
      <c r="A18" s="10" t="s">
        <v>30</v>
      </c>
      <c r="B18" s="16">
        <v>460338.7707111988</v>
      </c>
      <c r="C18" s="16">
        <v>436691.12314335792</v>
      </c>
      <c r="D18" s="16">
        <v>461825.05482936976</v>
      </c>
      <c r="E18" s="16">
        <v>458352.63432321104</v>
      </c>
      <c r="F18" s="16">
        <v>455978.34164428676</v>
      </c>
      <c r="G18" s="16">
        <v>354831.66895446728</v>
      </c>
      <c r="H18" s="16">
        <v>409619.51531032153</v>
      </c>
      <c r="I18" s="16">
        <v>402272.16114748333</v>
      </c>
      <c r="J18" s="16">
        <v>487319.48461536021</v>
      </c>
      <c r="K18" s="16">
        <v>515095.57870430197</v>
      </c>
      <c r="L18" s="16">
        <v>513611.23126335873</v>
      </c>
      <c r="M18" s="16">
        <v>499322.76548054279</v>
      </c>
      <c r="N18" s="9">
        <f t="shared" si="0"/>
        <v>5455258.3301272597</v>
      </c>
    </row>
    <row r="19" spans="1:14">
      <c r="A19" s="10" t="s">
        <v>31</v>
      </c>
      <c r="B19" s="16">
        <v>42958148.316293471</v>
      </c>
      <c r="C19" s="16">
        <v>40751384.04575137</v>
      </c>
      <c r="D19" s="16">
        <v>43096846.200657837</v>
      </c>
      <c r="E19" s="16">
        <v>42772804.941022798</v>
      </c>
      <c r="F19" s="16">
        <v>24997091.139465965</v>
      </c>
      <c r="G19" s="16">
        <v>19452151.029890411</v>
      </c>
      <c r="H19" s="16">
        <v>22455663.836559497</v>
      </c>
      <c r="I19" s="16">
        <v>22052876.105501696</v>
      </c>
      <c r="J19" s="16">
        <v>26715237.234821793</v>
      </c>
      <c r="K19" s="16">
        <v>28237944.547927696</v>
      </c>
      <c r="L19" s="16">
        <v>28156571.454350293</v>
      </c>
      <c r="M19" s="16">
        <v>27373266.527786866</v>
      </c>
      <c r="N19" s="9">
        <f t="shared" si="0"/>
        <v>369019985.38002968</v>
      </c>
    </row>
    <row r="20" spans="1:14">
      <c r="A20" s="10" t="s">
        <v>32</v>
      </c>
      <c r="B20" s="16">
        <v>553856.6810070374</v>
      </c>
      <c r="C20" s="16">
        <v>525405.00926252257</v>
      </c>
      <c r="D20" s="16">
        <v>555644.90403125028</v>
      </c>
      <c r="E20" s="16">
        <v>551467.06062772695</v>
      </c>
      <c r="F20" s="16">
        <v>548610.42993190978</v>
      </c>
      <c r="G20" s="16">
        <v>426915.79112419114</v>
      </c>
      <c r="H20" s="16">
        <v>492833.79906277108</v>
      </c>
      <c r="I20" s="16">
        <v>483993.82848083245</v>
      </c>
      <c r="J20" s="16">
        <v>586318.5321586848</v>
      </c>
      <c r="K20" s="16">
        <v>619737.34513347084</v>
      </c>
      <c r="L20" s="16">
        <v>617951.45222283888</v>
      </c>
      <c r="M20" s="16">
        <v>600760.28185296827</v>
      </c>
      <c r="N20" s="9">
        <f t="shared" si="0"/>
        <v>6563495.1148962043</v>
      </c>
    </row>
    <row r="21" spans="1:14">
      <c r="A21" s="17" t="s">
        <v>33</v>
      </c>
      <c r="B21" s="18">
        <f>SUM(B16:B20)</f>
        <v>159674980.43566006</v>
      </c>
      <c r="C21" s="18">
        <f t="shared" ref="C21:N21" si="3">SUM(C16:C20)</f>
        <v>160958760.13506728</v>
      </c>
      <c r="D21" s="18">
        <f t="shared" si="3"/>
        <v>170222805.74327615</v>
      </c>
      <c r="E21" s="18">
        <f t="shared" si="3"/>
        <v>158942915.97744855</v>
      </c>
      <c r="F21" s="18">
        <f t="shared" si="3"/>
        <v>32929007.562781304</v>
      </c>
      <c r="G21" s="18">
        <f t="shared" si="3"/>
        <v>25624582.668514043</v>
      </c>
      <c r="H21" s="18">
        <f t="shared" si="3"/>
        <v>29581150.869746346</v>
      </c>
      <c r="I21" s="18">
        <f t="shared" si="3"/>
        <v>29050553.122664597</v>
      </c>
      <c r="J21" s="18">
        <f t="shared" si="3"/>
        <v>35192344.742786646</v>
      </c>
      <c r="K21" s="18">
        <f t="shared" si="3"/>
        <v>37198227.761311248</v>
      </c>
      <c r="L21" s="18">
        <f t="shared" si="3"/>
        <v>37091033.880276553</v>
      </c>
      <c r="M21" s="18">
        <f t="shared" si="3"/>
        <v>36059175.664980151</v>
      </c>
      <c r="N21" s="18">
        <f t="shared" si="3"/>
        <v>912525538.56451297</v>
      </c>
    </row>
    <row r="22" spans="1:14">
      <c r="A22" s="10" t="s">
        <v>34</v>
      </c>
      <c r="B22" s="16">
        <v>44145659.782349743</v>
      </c>
      <c r="C22" s="16">
        <v>48032680.352160119</v>
      </c>
      <c r="D22" s="16">
        <v>43430492.042016864</v>
      </c>
      <c r="E22" s="16">
        <v>37656260.974513628</v>
      </c>
      <c r="F22" s="16">
        <v>35861706.803931259</v>
      </c>
      <c r="G22" s="16">
        <v>22960760.535964381</v>
      </c>
      <c r="H22" s="16">
        <v>29112692.296001375</v>
      </c>
      <c r="I22" s="16">
        <v>29347093.169996854</v>
      </c>
      <c r="J22" s="16">
        <v>37456120.428844087</v>
      </c>
      <c r="K22" s="16">
        <v>39024632.02126532</v>
      </c>
      <c r="L22" s="16">
        <v>40775501.077752069</v>
      </c>
      <c r="M22" s="16">
        <v>38517134.564902477</v>
      </c>
      <c r="N22" s="9">
        <f t="shared" si="0"/>
        <v>446320734.04969817</v>
      </c>
    </row>
    <row r="23" spans="1:14">
      <c r="A23" s="10" t="s">
        <v>35</v>
      </c>
      <c r="B23" s="16">
        <v>17291088.160635475</v>
      </c>
      <c r="C23" s="16">
        <v>18813566.603276554</v>
      </c>
      <c r="D23" s="16">
        <v>17010969.378659938</v>
      </c>
      <c r="E23" s="16">
        <v>14749303.363465443</v>
      </c>
      <c r="F23" s="16">
        <v>23228499.905499995</v>
      </c>
      <c r="G23" s="16">
        <v>18834302.881999999</v>
      </c>
      <c r="H23" s="16">
        <v>21939459.028999995</v>
      </c>
      <c r="I23" s="16">
        <v>25864578.975999996</v>
      </c>
      <c r="J23" s="16">
        <v>23141062.519000001</v>
      </c>
      <c r="K23" s="16">
        <v>32885461.663000003</v>
      </c>
      <c r="L23" s="16">
        <v>30647472.193</v>
      </c>
      <c r="M23" s="16">
        <v>40729182.023000002</v>
      </c>
      <c r="N23" s="9">
        <f t="shared" si="0"/>
        <v>285134946.69653738</v>
      </c>
    </row>
    <row r="24" spans="1:14">
      <c r="A24" s="10" t="s">
        <v>36</v>
      </c>
      <c r="B24" s="16">
        <v>17297444.302835401</v>
      </c>
      <c r="C24" s="16">
        <v>18820482.403109815</v>
      </c>
      <c r="D24" s="16">
        <v>17017222.550196908</v>
      </c>
      <c r="E24" s="16">
        <v>14754725.154659677</v>
      </c>
      <c r="F24" s="16"/>
      <c r="G24" s="16"/>
      <c r="H24" s="16"/>
      <c r="I24" s="16"/>
      <c r="J24" s="16"/>
      <c r="K24" s="16"/>
      <c r="L24" s="16"/>
      <c r="M24" s="16"/>
      <c r="N24" s="9">
        <f t="shared" si="0"/>
        <v>67889874.410801798</v>
      </c>
    </row>
    <row r="25" spans="1:14">
      <c r="A25" s="10" t="s">
        <v>37</v>
      </c>
      <c r="B25" s="16">
        <v>12835088.438247439</v>
      </c>
      <c r="C25" s="16">
        <v>13965216.587215554</v>
      </c>
      <c r="D25" s="16">
        <v>12627157.664517691</v>
      </c>
      <c r="E25" s="16">
        <v>10948334.269881021</v>
      </c>
      <c r="F25" s="16">
        <v>10426578.301112838</v>
      </c>
      <c r="G25" s="16">
        <v>8908352.8000000007</v>
      </c>
      <c r="H25" s="16">
        <v>9120898.7250000015</v>
      </c>
      <c r="I25" s="16">
        <v>8753919.8499999996</v>
      </c>
      <c r="J25" s="16">
        <v>13474925.3125</v>
      </c>
      <c r="K25" s="16">
        <v>17509783.5</v>
      </c>
      <c r="L25" s="16">
        <v>15408206.087499999</v>
      </c>
      <c r="M25" s="16">
        <v>13293742.25</v>
      </c>
      <c r="N25" s="9">
        <f t="shared" si="0"/>
        <v>147272203.78597456</v>
      </c>
    </row>
    <row r="26" spans="1:14">
      <c r="A26" s="10" t="s">
        <v>38</v>
      </c>
      <c r="B26" s="16">
        <v>46099571.224002883</v>
      </c>
      <c r="C26" s="16">
        <v>50158633.48494979</v>
      </c>
      <c r="D26" s="16">
        <v>45352749.761935472</v>
      </c>
      <c r="E26" s="16">
        <v>39322948.017605372</v>
      </c>
      <c r="F26" s="16">
        <v>36579118.984979987</v>
      </c>
      <c r="G26" s="16">
        <v>23202410.132660002</v>
      </c>
      <c r="H26" s="16">
        <v>32890985.440280002</v>
      </c>
      <c r="I26" s="16">
        <v>24845172.419099994</v>
      </c>
      <c r="J26" s="16">
        <v>33624136.298939988</v>
      </c>
      <c r="K26" s="16">
        <v>38602762.939399987</v>
      </c>
      <c r="L26" s="16">
        <v>39510371.268720008</v>
      </c>
      <c r="M26" s="16">
        <v>45189001.792219996</v>
      </c>
      <c r="N26" s="9">
        <f t="shared" si="0"/>
        <v>455377861.76479352</v>
      </c>
    </row>
    <row r="27" spans="1:14">
      <c r="A27" s="10" t="s">
        <v>39</v>
      </c>
      <c r="B27" s="16"/>
      <c r="C27" s="16"/>
      <c r="D27" s="16"/>
      <c r="E27" s="16"/>
      <c r="F27" s="16">
        <v>8029562.7040199973</v>
      </c>
      <c r="G27" s="16">
        <v>5093211.9803400002</v>
      </c>
      <c r="H27" s="16">
        <v>7219972.4137200005</v>
      </c>
      <c r="I27" s="16">
        <v>5453818.3358999994</v>
      </c>
      <c r="J27" s="16">
        <v>7380907.968059998</v>
      </c>
      <c r="K27" s="16">
        <v>8473777.2305999957</v>
      </c>
      <c r="L27" s="16">
        <v>8673008.3272800017</v>
      </c>
      <c r="M27" s="16">
        <v>9919536.9787799977</v>
      </c>
      <c r="N27" s="9">
        <f t="shared" si="0"/>
        <v>60243795.938699991</v>
      </c>
    </row>
    <row r="28" spans="1:14">
      <c r="A28" s="10" t="s">
        <v>40</v>
      </c>
      <c r="B28" s="16">
        <v>1740497.5980708997</v>
      </c>
      <c r="C28" s="16">
        <v>1893748.2233591427</v>
      </c>
      <c r="D28" s="16">
        <v>1712301.2195275926</v>
      </c>
      <c r="E28" s="16">
        <v>1484644.9707990612</v>
      </c>
      <c r="F28" s="16">
        <v>1413892.4384118221</v>
      </c>
      <c r="G28" s="16">
        <v>905256.57017601351</v>
      </c>
      <c r="H28" s="16">
        <v>1147804.1389433851</v>
      </c>
      <c r="I28" s="16">
        <v>1157045.6852287115</v>
      </c>
      <c r="J28" s="16">
        <v>1476754.1806119427</v>
      </c>
      <c r="K28" s="16">
        <v>1538594.7029331657</v>
      </c>
      <c r="L28" s="16">
        <v>1607624.8953094103</v>
      </c>
      <c r="M28" s="16">
        <v>1518585.9838839653</v>
      </c>
      <c r="N28" s="9">
        <f t="shared" si="0"/>
        <v>17596750.607255112</v>
      </c>
    </row>
    <row r="29" spans="1:14">
      <c r="A29" s="10" t="s">
        <v>41</v>
      </c>
      <c r="B29" s="16"/>
      <c r="C29" s="16"/>
      <c r="D29" s="16"/>
      <c r="E29" s="16"/>
      <c r="F29" s="16">
        <v>12880479.366</v>
      </c>
      <c r="G29" s="16">
        <v>9830792.25</v>
      </c>
      <c r="H29" s="16">
        <v>11089882.4</v>
      </c>
      <c r="I29" s="16">
        <v>7971742.0630000001</v>
      </c>
      <c r="J29" s="16">
        <v>9329499.1999999993</v>
      </c>
      <c r="K29" s="16">
        <v>20481160.658000004</v>
      </c>
      <c r="L29" s="16">
        <v>16164426.737500001</v>
      </c>
      <c r="M29" s="16">
        <v>14294707.574999999</v>
      </c>
      <c r="N29" s="9">
        <f t="shared" si="0"/>
        <v>102042690.24950001</v>
      </c>
    </row>
    <row r="30" spans="1:14">
      <c r="A30" s="10" t="s">
        <v>42</v>
      </c>
      <c r="B30" s="16">
        <v>53106375.360954419</v>
      </c>
      <c r="C30" s="16">
        <v>57782385.968426041</v>
      </c>
      <c r="D30" s="16">
        <v>52246042.393876448</v>
      </c>
      <c r="E30" s="16">
        <v>45299754.038383007</v>
      </c>
      <c r="F30" s="16">
        <v>43478815.934500001</v>
      </c>
      <c r="G30" s="16">
        <v>27672069.361999996</v>
      </c>
      <c r="H30" s="16">
        <v>30169623.654800002</v>
      </c>
      <c r="I30" s="16">
        <v>26934504.767799996</v>
      </c>
      <c r="J30" s="16">
        <v>42419921.03930001</v>
      </c>
      <c r="K30" s="16">
        <v>45721334.353500009</v>
      </c>
      <c r="L30" s="16">
        <v>57290744.288699999</v>
      </c>
      <c r="M30" s="16">
        <v>61051033.601999998</v>
      </c>
      <c r="N30" s="9">
        <f t="shared" si="0"/>
        <v>543172604.76423991</v>
      </c>
    </row>
    <row r="31" spans="1:14">
      <c r="A31" s="10" t="s">
        <v>43</v>
      </c>
      <c r="B31" s="16">
        <v>23676741.129514508</v>
      </c>
      <c r="C31" s="16">
        <v>25761475.625504404</v>
      </c>
      <c r="D31" s="16">
        <v>23293173.604744799</v>
      </c>
      <c r="E31" s="16">
        <v>20196267.252425756</v>
      </c>
      <c r="F31" s="16">
        <v>16209058</v>
      </c>
      <c r="G31" s="16">
        <v>11273623.462499999</v>
      </c>
      <c r="H31" s="16">
        <v>14674366.400000002</v>
      </c>
      <c r="I31" s="16">
        <v>15782611.15</v>
      </c>
      <c r="J31" s="16">
        <v>17679164.549999997</v>
      </c>
      <c r="K31" s="16">
        <v>19467496.949999999</v>
      </c>
      <c r="L31" s="16">
        <v>21432442.5</v>
      </c>
      <c r="M31" s="16">
        <v>21660172.25</v>
      </c>
      <c r="N31" s="9">
        <f t="shared" si="0"/>
        <v>231106592.87468946</v>
      </c>
    </row>
    <row r="32" spans="1:14">
      <c r="A32" s="10" t="s">
        <v>44</v>
      </c>
      <c r="B32" s="16">
        <v>11466430.199710358</v>
      </c>
      <c r="C32" s="16">
        <v>12476048.138785517</v>
      </c>
      <c r="D32" s="16">
        <v>11280671.939078579</v>
      </c>
      <c r="E32" s="16">
        <v>9780868.383781014</v>
      </c>
      <c r="F32" s="16">
        <v>9240018.8499999996</v>
      </c>
      <c r="G32" s="16">
        <v>5427059.875</v>
      </c>
      <c r="H32" s="16">
        <v>8495228.5259999987</v>
      </c>
      <c r="I32" s="16">
        <v>7996157.8509999998</v>
      </c>
      <c r="J32" s="16">
        <v>8465258.1919999998</v>
      </c>
      <c r="K32" s="16">
        <v>10645446.729999999</v>
      </c>
      <c r="L32" s="16">
        <v>9647334.4635000005</v>
      </c>
      <c r="M32" s="16">
        <v>11955894.465499999</v>
      </c>
      <c r="N32" s="9">
        <f t="shared" si="0"/>
        <v>116876417.61435547</v>
      </c>
    </row>
    <row r="33" spans="1:14">
      <c r="A33" s="17" t="s">
        <v>45</v>
      </c>
      <c r="B33" s="18">
        <f>SUM(B22:B32)</f>
        <v>227658896.19632113</v>
      </c>
      <c r="C33" s="18">
        <f t="shared" ref="C33:N33" si="4">SUM(C22:C32)</f>
        <v>247704237.38678694</v>
      </c>
      <c r="D33" s="18">
        <f t="shared" si="4"/>
        <v>223970780.55455428</v>
      </c>
      <c r="E33" s="18">
        <f t="shared" si="4"/>
        <v>194193106.42551398</v>
      </c>
      <c r="F33" s="18">
        <f t="shared" si="4"/>
        <v>197347731.28845587</v>
      </c>
      <c r="G33" s="18">
        <f t="shared" si="4"/>
        <v>134107839.85064042</v>
      </c>
      <c r="H33" s="18">
        <f t="shared" si="4"/>
        <v>165860913.02374476</v>
      </c>
      <c r="I33" s="18">
        <f t="shared" si="4"/>
        <v>154106644.26802555</v>
      </c>
      <c r="J33" s="18">
        <f t="shared" si="4"/>
        <v>194447749.68925604</v>
      </c>
      <c r="K33" s="18">
        <f t="shared" si="4"/>
        <v>234350450.74869844</v>
      </c>
      <c r="L33" s="18">
        <f t="shared" si="4"/>
        <v>241157131.8392615</v>
      </c>
      <c r="M33" s="18">
        <f t="shared" si="4"/>
        <v>258128991.48528644</v>
      </c>
      <c r="N33" s="18">
        <f t="shared" si="4"/>
        <v>2473034472.756546</v>
      </c>
    </row>
    <row r="34" spans="1:14">
      <c r="A34" s="10" t="s">
        <v>46</v>
      </c>
      <c r="B34" s="16">
        <v>9682329.7535058931</v>
      </c>
      <c r="C34" s="16">
        <v>10248871.777823864</v>
      </c>
      <c r="D34" s="16">
        <v>12474593.497301025</v>
      </c>
      <c r="E34" s="16">
        <v>12156738.346025312</v>
      </c>
      <c r="F34" s="16">
        <v>12920980.341217456</v>
      </c>
      <c r="G34" s="16">
        <v>10573767.445405673</v>
      </c>
      <c r="H34" s="16">
        <v>11694323.056645837</v>
      </c>
      <c r="I34" s="16">
        <v>13887570.439256361</v>
      </c>
      <c r="J34" s="16">
        <v>14260945.638713393</v>
      </c>
      <c r="K34" s="16">
        <v>16183403.89491955</v>
      </c>
      <c r="L34" s="16">
        <v>15410240.59442619</v>
      </c>
      <c r="M34" s="16">
        <v>15635222.336999901</v>
      </c>
      <c r="N34" s="9">
        <f t="shared" si="0"/>
        <v>155128987.12224045</v>
      </c>
    </row>
    <row r="35" spans="1:14">
      <c r="A35" s="10" t="s">
        <v>47</v>
      </c>
      <c r="B35" s="16">
        <v>5998205.3825726267</v>
      </c>
      <c r="C35" s="16">
        <v>6349178.289531013</v>
      </c>
      <c r="D35" s="16">
        <v>8834658.9166448228</v>
      </c>
      <c r="E35" s="16">
        <v>8834658.9166448228</v>
      </c>
      <c r="F35" s="16">
        <v>8834658.9166448228</v>
      </c>
      <c r="G35" s="16">
        <v>8834658.9166448228</v>
      </c>
      <c r="H35" s="16">
        <v>7244635.6703062411</v>
      </c>
      <c r="I35" s="16">
        <v>8603352.8995892312</v>
      </c>
      <c r="J35" s="16">
        <v>8834658.9166448228</v>
      </c>
      <c r="K35" s="16">
        <v>10025622.223381154</v>
      </c>
      <c r="L35" s="16">
        <v>9546647.3910121527</v>
      </c>
      <c r="M35" s="16">
        <v>10025622.223381154</v>
      </c>
      <c r="N35" s="9">
        <f t="shared" si="0"/>
        <v>101966558.66299769</v>
      </c>
    </row>
    <row r="36" spans="1:14">
      <c r="A36" s="10" t="s">
        <v>48</v>
      </c>
      <c r="B36" s="16">
        <v>6817604.5607526284</v>
      </c>
      <c r="C36" s="16">
        <v>6817604.5607526284</v>
      </c>
      <c r="D36" s="16">
        <v>6817604.5607526284</v>
      </c>
      <c r="E36" s="16">
        <v>6817604.5607526284</v>
      </c>
      <c r="F36" s="16">
        <v>3007766.7179791005</v>
      </c>
      <c r="G36" s="16">
        <v>3007766.7179791005</v>
      </c>
      <c r="H36" s="16">
        <v>3007766.7179791005</v>
      </c>
      <c r="I36" s="16">
        <v>3007766.7179791005</v>
      </c>
      <c r="J36" s="16">
        <v>3007766.7179791005</v>
      </c>
      <c r="K36" s="16">
        <v>3007766.7179791005</v>
      </c>
      <c r="L36" s="16">
        <v>3007766.7179791005</v>
      </c>
      <c r="M36" s="16">
        <v>3007766.7179791005</v>
      </c>
      <c r="N36" s="9">
        <f t="shared" si="0"/>
        <v>51332551.986843333</v>
      </c>
    </row>
    <row r="37" spans="1:14">
      <c r="A37" s="10" t="s">
        <v>49</v>
      </c>
      <c r="B37" s="16"/>
      <c r="C37" s="16"/>
      <c r="D37" s="16"/>
      <c r="E37" s="16"/>
      <c r="F37" s="16">
        <v>2005177.8119860673</v>
      </c>
      <c r="G37" s="16">
        <v>2005177.8119860673</v>
      </c>
      <c r="H37" s="16">
        <v>2005177.8119860673</v>
      </c>
      <c r="I37" s="16">
        <v>2005177.8119860673</v>
      </c>
      <c r="J37" s="16">
        <v>2005177.8119860673</v>
      </c>
      <c r="K37" s="16">
        <v>2005177.8119860673</v>
      </c>
      <c r="L37" s="16">
        <v>2005177.8119860673</v>
      </c>
      <c r="M37" s="16">
        <v>2005177.8119860673</v>
      </c>
      <c r="N37" s="9">
        <f t="shared" si="0"/>
        <v>16041422.495888535</v>
      </c>
    </row>
    <row r="38" spans="1:14">
      <c r="A38" s="10" t="s">
        <v>50</v>
      </c>
      <c r="B38" s="16"/>
      <c r="C38" s="16"/>
      <c r="D38" s="16"/>
      <c r="E38" s="16"/>
      <c r="F38" s="16">
        <v>1804660.0307874605</v>
      </c>
      <c r="G38" s="16">
        <v>1804660.0307874605</v>
      </c>
      <c r="H38" s="16">
        <v>1804660.0307874605</v>
      </c>
      <c r="I38" s="16">
        <v>1804660.0307874605</v>
      </c>
      <c r="J38" s="16">
        <v>1804660.0307874605</v>
      </c>
      <c r="K38" s="16">
        <v>1804660.0307874605</v>
      </c>
      <c r="L38" s="16">
        <v>1804660.0307874605</v>
      </c>
      <c r="M38" s="16">
        <v>1804660.0307874605</v>
      </c>
      <c r="N38" s="9">
        <f t="shared" si="0"/>
        <v>14437280.246299684</v>
      </c>
    </row>
    <row r="39" spans="1:14">
      <c r="A39" s="10" t="s">
        <v>51</v>
      </c>
      <c r="B39" s="16"/>
      <c r="C39" s="16"/>
      <c r="D39" s="16"/>
      <c r="E39" s="16"/>
      <c r="F39" s="16">
        <v>500000</v>
      </c>
      <c r="G39" s="16">
        <v>500000</v>
      </c>
      <c r="H39" s="16">
        <v>500000</v>
      </c>
      <c r="I39" s="16">
        <v>500000</v>
      </c>
      <c r="J39" s="16">
        <v>500000</v>
      </c>
      <c r="K39" s="16">
        <v>500000</v>
      </c>
      <c r="L39" s="16">
        <v>500000</v>
      </c>
      <c r="M39" s="16">
        <v>500000</v>
      </c>
      <c r="N39" s="9">
        <f t="shared" si="0"/>
        <v>4000000</v>
      </c>
    </row>
    <row r="40" spans="1:14">
      <c r="A40" s="10" t="s">
        <v>52</v>
      </c>
      <c r="B40" s="16"/>
      <c r="C40" s="16"/>
      <c r="D40" s="16"/>
      <c r="E40" s="16"/>
      <c r="F40" s="16">
        <v>500000</v>
      </c>
      <c r="G40" s="16">
        <v>500000</v>
      </c>
      <c r="H40" s="16">
        <v>500000</v>
      </c>
      <c r="I40" s="16">
        <v>500000</v>
      </c>
      <c r="J40" s="16">
        <v>500000</v>
      </c>
      <c r="K40" s="16">
        <v>500000</v>
      </c>
      <c r="L40" s="16">
        <v>500000</v>
      </c>
      <c r="M40" s="16">
        <v>500000</v>
      </c>
      <c r="N40" s="9">
        <f t="shared" si="0"/>
        <v>4000000</v>
      </c>
    </row>
    <row r="41" spans="1:14">
      <c r="A41" s="10" t="s">
        <v>53</v>
      </c>
      <c r="B41" s="16">
        <v>3381448.740078649</v>
      </c>
      <c r="C41" s="16">
        <v>3579307.4025186407</v>
      </c>
      <c r="D41" s="16">
        <v>4356616.5931467097</v>
      </c>
      <c r="E41" s="16">
        <v>4245609.1261246754</v>
      </c>
      <c r="F41" s="16">
        <v>4512512.3609398222</v>
      </c>
      <c r="G41" s="16">
        <v>3692773.6935632853</v>
      </c>
      <c r="H41" s="16">
        <v>4084115.5974520789</v>
      </c>
      <c r="I41" s="16">
        <v>4850083.4778502602</v>
      </c>
      <c r="J41" s="16">
        <v>4980480.7200350184</v>
      </c>
      <c r="K41" s="16">
        <v>5651878.4325481923</v>
      </c>
      <c r="L41" s="16">
        <v>5381859.5285357917</v>
      </c>
      <c r="M41" s="16">
        <v>5460431.9640274774</v>
      </c>
      <c r="N41" s="9">
        <f t="shared" si="0"/>
        <v>54177117.636820607</v>
      </c>
    </row>
    <row r="42" spans="1:14">
      <c r="A42" s="10" t="s">
        <v>54</v>
      </c>
      <c r="B42" s="16">
        <v>6107782.7504402827</v>
      </c>
      <c r="C42" s="16">
        <v>6275772.2712910287</v>
      </c>
      <c r="D42" s="16">
        <v>6935737.303279927</v>
      </c>
      <c r="E42" s="16">
        <v>6841487.746723149</v>
      </c>
      <c r="F42" s="16">
        <v>7068098.7324499376</v>
      </c>
      <c r="G42" s="16">
        <v>7354709.4346729685</v>
      </c>
      <c r="H42" s="16">
        <v>7354709.4346729685</v>
      </c>
      <c r="I42" s="16">
        <v>7354709.4346729685</v>
      </c>
      <c r="J42" s="16">
        <v>8065421.6469397414</v>
      </c>
      <c r="K42" s="16">
        <v>8988888.0817900989</v>
      </c>
      <c r="L42" s="16">
        <v>8759631.7745538987</v>
      </c>
      <c r="M42" s="16">
        <v>7872918.4859243147</v>
      </c>
      <c r="N42" s="9">
        <f t="shared" si="0"/>
        <v>88979867.097411275</v>
      </c>
    </row>
    <row r="43" spans="1:14">
      <c r="A43" s="10" t="s">
        <v>55</v>
      </c>
      <c r="B43" s="16">
        <v>1099354.8348337086</v>
      </c>
      <c r="C43" s="16">
        <v>1099354.8348337086</v>
      </c>
      <c r="D43" s="16">
        <v>1099354.8348337086</v>
      </c>
      <c r="E43" s="16">
        <v>1099354.8348337086</v>
      </c>
      <c r="F43" s="16">
        <v>1099354.8348337086</v>
      </c>
      <c r="G43" s="16">
        <v>1099354.8348337086</v>
      </c>
      <c r="H43" s="16">
        <v>1099354.8348337086</v>
      </c>
      <c r="I43" s="16">
        <v>1070571.9026825752</v>
      </c>
      <c r="J43" s="16">
        <v>1099354.8348337086</v>
      </c>
      <c r="K43" s="16">
        <v>1247554.2482715466</v>
      </c>
      <c r="L43" s="16">
        <v>1187952.2531411557</v>
      </c>
      <c r="M43" s="16">
        <v>1205295.757051324</v>
      </c>
      <c r="N43" s="9">
        <f t="shared" si="0"/>
        <v>13506212.839816272</v>
      </c>
    </row>
    <row r="44" spans="1:14">
      <c r="A44" s="17" t="s">
        <v>56</v>
      </c>
      <c r="B44" s="18">
        <f>SUM(B34:B43)</f>
        <v>33086726.022183787</v>
      </c>
      <c r="C44" s="18">
        <f t="shared" ref="C44:N44" si="5">SUM(C34:C43)</f>
        <v>34370089.136750884</v>
      </c>
      <c r="D44" s="18">
        <f t="shared" si="5"/>
        <v>40518565.705958828</v>
      </c>
      <c r="E44" s="18">
        <f t="shared" si="5"/>
        <v>39995453.531104304</v>
      </c>
      <c r="F44" s="18">
        <f t="shared" si="5"/>
        <v>42253209.746838376</v>
      </c>
      <c r="G44" s="18">
        <f t="shared" si="5"/>
        <v>39372868.885873087</v>
      </c>
      <c r="H44" s="18">
        <f t="shared" si="5"/>
        <v>39294743.154663458</v>
      </c>
      <c r="I44" s="18">
        <f t="shared" si="5"/>
        <v>43583892.714804016</v>
      </c>
      <c r="J44" s="18">
        <f t="shared" si="5"/>
        <v>45058466.317919314</v>
      </c>
      <c r="K44" s="18">
        <f t="shared" si="5"/>
        <v>49914951.441663176</v>
      </c>
      <c r="L44" s="18">
        <f t="shared" si="5"/>
        <v>48103936.102421813</v>
      </c>
      <c r="M44" s="18">
        <f t="shared" si="5"/>
        <v>48017095.328136794</v>
      </c>
      <c r="N44" s="18">
        <f t="shared" si="5"/>
        <v>503569998.08831787</v>
      </c>
    </row>
    <row r="45" spans="1:14">
      <c r="A45" s="10" t="s">
        <v>57</v>
      </c>
      <c r="B45" s="16">
        <v>3388295.5983985025</v>
      </c>
      <c r="C45" s="16">
        <v>3388295.5983985025</v>
      </c>
      <c r="D45" s="16">
        <v>3388295.5983985025</v>
      </c>
      <c r="E45" s="16">
        <v>3388295.5983985025</v>
      </c>
      <c r="F45" s="16">
        <v>1530867.3024824634</v>
      </c>
      <c r="G45" s="16">
        <v>3388295.5983985025</v>
      </c>
      <c r="H45" s="16">
        <v>3388295.5983985025</v>
      </c>
      <c r="I45" s="16">
        <v>3388295.5983985025</v>
      </c>
      <c r="J45" s="16">
        <v>3639272.4548722738</v>
      </c>
      <c r="K45" s="16">
        <v>3388295.5983985025</v>
      </c>
      <c r="L45" s="16">
        <v>3388295.5983985025</v>
      </c>
      <c r="M45" s="16">
        <v>3388295.5983985025</v>
      </c>
      <c r="N45" s="9">
        <f t="shared" si="0"/>
        <v>39053095.741339758</v>
      </c>
    </row>
    <row r="46" spans="1:14">
      <c r="A46" s="17" t="s">
        <v>58</v>
      </c>
      <c r="B46" s="18">
        <f t="shared" ref="B46:M46" si="6">B45+B44+B33+B21+B15+B9</f>
        <v>723087347.17944372</v>
      </c>
      <c r="C46" s="18">
        <f t="shared" si="6"/>
        <v>789865358.16586578</v>
      </c>
      <c r="D46" s="18">
        <f t="shared" si="6"/>
        <v>748157388.50826883</v>
      </c>
      <c r="E46" s="18">
        <f t="shared" si="6"/>
        <v>685213511.07677233</v>
      </c>
      <c r="F46" s="18">
        <f t="shared" si="6"/>
        <v>654727079.3774631</v>
      </c>
      <c r="G46" s="18">
        <f t="shared" si="6"/>
        <v>510784779.54864496</v>
      </c>
      <c r="H46" s="18">
        <f t="shared" si="6"/>
        <v>591407168.27301729</v>
      </c>
      <c r="I46" s="18">
        <f t="shared" si="6"/>
        <v>577331590.06175482</v>
      </c>
      <c r="J46" s="18">
        <f t="shared" si="6"/>
        <v>695476334.55776787</v>
      </c>
      <c r="K46" s="18">
        <f t="shared" si="6"/>
        <v>761409504.57865167</v>
      </c>
      <c r="L46" s="18">
        <f t="shared" si="6"/>
        <v>760449118.69700122</v>
      </c>
      <c r="M46" s="18">
        <f t="shared" si="6"/>
        <v>764506925.53994286</v>
      </c>
      <c r="N46" s="18">
        <f>SUM(B46:M46)</f>
        <v>8262416105.5645943</v>
      </c>
    </row>
    <row r="47" spans="1:14">
      <c r="F47" s="13"/>
      <c r="G47" s="13"/>
      <c r="H47" s="13"/>
      <c r="I47" s="13"/>
      <c r="J47" s="13"/>
      <c r="K47" s="13"/>
      <c r="L47" s="13"/>
      <c r="M47" s="13"/>
      <c r="N47" s="13"/>
    </row>
  </sheetData>
  <mergeCells count="1">
    <mergeCell ref="B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F51D-28D0-4C2A-B530-8753469764F3}">
  <dimension ref="A1:P47"/>
  <sheetViews>
    <sheetView topLeftCell="A29" workbookViewId="0">
      <selection activeCell="H46" sqref="H46"/>
    </sheetView>
  </sheetViews>
  <sheetFormatPr defaultRowHeight="13.2"/>
  <cols>
    <col min="1" max="1" width="28" style="19" customWidth="1"/>
    <col min="2" max="13" width="12.21875" style="12" customWidth="1"/>
    <col min="14" max="14" width="14.109375" style="12" bestFit="1" customWidth="1"/>
    <col min="15" max="15" width="8.88671875" style="12"/>
    <col min="16" max="16" width="11.44140625" style="12" bestFit="1" customWidth="1"/>
    <col min="17" max="16384" width="8.88671875" style="12"/>
  </cols>
  <sheetData>
    <row r="1" spans="1:16" s="5" customFormat="1" ht="24.6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6" s="5" customForma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</row>
    <row r="3" spans="1:16" s="5" customFormat="1">
      <c r="A3" s="8" t="s">
        <v>15</v>
      </c>
      <c r="B3" s="9"/>
      <c r="C3" s="9"/>
      <c r="D3" s="9"/>
      <c r="E3" s="9"/>
      <c r="F3" s="9"/>
      <c r="G3" s="9">
        <f>'Post Customer Addition'!G3</f>
        <v>30285017.289323501</v>
      </c>
      <c r="H3" s="9">
        <f>'Post Customer Addition'!H3*1.1</f>
        <v>48872170.913617343</v>
      </c>
      <c r="I3" s="9">
        <f>'Post Customer Addition'!I3*0.9</f>
        <v>33192987.222155705</v>
      </c>
      <c r="J3" s="9">
        <f>'Post Customer Addition'!J3*0.9</f>
        <v>46561321.775503539</v>
      </c>
      <c r="K3" s="9">
        <v>47895288.817658588</v>
      </c>
      <c r="L3" s="9">
        <v>47132915.622959897</v>
      </c>
      <c r="M3" s="9">
        <f>'Post Customer Addition'!M3*1.15</f>
        <v>54961454.932097688</v>
      </c>
      <c r="N3" s="9">
        <f t="shared" ref="N3:N45" si="0">SUM(B3:M3)</f>
        <v>308901156.57331628</v>
      </c>
    </row>
    <row r="4" spans="1:16">
      <c r="A4" s="10" t="s">
        <v>16</v>
      </c>
      <c r="B4" s="11"/>
      <c r="C4" s="11"/>
      <c r="D4" s="11"/>
      <c r="E4" s="11"/>
      <c r="F4" s="9"/>
      <c r="G4" s="9">
        <f>'Post Customer Addition'!G4</f>
        <v>23018764.436219007</v>
      </c>
      <c r="H4" s="9">
        <f>'Post Customer Addition'!H4*1.1</f>
        <v>35621665.441836081</v>
      </c>
      <c r="I4" s="9">
        <f>'Post Customer Addition'!I4*0.95</f>
        <v>25605694.37612785</v>
      </c>
      <c r="J4" s="9">
        <f>'Post Customer Addition'!J4*0.95</f>
        <v>35799238.631243065</v>
      </c>
      <c r="K4" s="9">
        <v>34996752.607345074</v>
      </c>
      <c r="L4" s="9">
        <v>34101391.743514501</v>
      </c>
      <c r="M4" s="9">
        <f>'Post Customer Addition'!M4*1.15</f>
        <v>40297014.3202831</v>
      </c>
      <c r="N4" s="9">
        <f t="shared" si="0"/>
        <v>229440521.55656868</v>
      </c>
    </row>
    <row r="5" spans="1:16">
      <c r="A5" s="10" t="s">
        <v>17</v>
      </c>
      <c r="B5" s="11"/>
      <c r="C5" s="11"/>
      <c r="D5" s="11"/>
      <c r="E5" s="11"/>
      <c r="F5" s="11"/>
      <c r="G5" s="9">
        <f>'Post Customer Addition'!G5</f>
        <v>4075584.6385744405</v>
      </c>
      <c r="H5" s="11">
        <v>5787919.2454471122</v>
      </c>
      <c r="I5" s="11">
        <v>4804601.2135578347</v>
      </c>
      <c r="J5" s="11">
        <v>6967118.1827162812</v>
      </c>
      <c r="K5" s="11">
        <v>6932722.3017585501</v>
      </c>
      <c r="L5" s="11">
        <v>6967118.1827162812</v>
      </c>
      <c r="M5" s="11">
        <v>6967118.1827162812</v>
      </c>
      <c r="N5" s="9">
        <f t="shared" si="0"/>
        <v>42502181.947486781</v>
      </c>
    </row>
    <row r="6" spans="1:16">
      <c r="A6" s="10" t="s">
        <v>18</v>
      </c>
      <c r="B6" s="11"/>
      <c r="C6" s="11"/>
      <c r="D6" s="11"/>
      <c r="E6" s="11"/>
      <c r="F6" s="9"/>
      <c r="G6" s="9">
        <f>'Post Customer Addition'!G6</f>
        <v>41623625.8600602</v>
      </c>
      <c r="H6" s="9">
        <f>'Post Customer Addition'!H6*1.1</f>
        <v>55107023.46332667</v>
      </c>
      <c r="I6" s="9">
        <f>'Post Customer Addition'!I6*0.95</f>
        <v>43410397.140089072</v>
      </c>
      <c r="J6" s="9">
        <f>'Post Customer Addition'!J6*0.95</f>
        <v>57930005.50809025</v>
      </c>
      <c r="K6" s="9">
        <v>59192760.250162669</v>
      </c>
      <c r="L6" s="9">
        <v>55768718.364215203</v>
      </c>
      <c r="M6" s="9">
        <f>'Post Customer Addition'!M6*1.15</f>
        <v>71338151.211779222</v>
      </c>
      <c r="N6" s="9">
        <f t="shared" si="0"/>
        <v>384370681.79772329</v>
      </c>
    </row>
    <row r="7" spans="1:16">
      <c r="A7" s="10" t="s">
        <v>19</v>
      </c>
      <c r="B7" s="11"/>
      <c r="C7" s="11"/>
      <c r="D7" s="11"/>
      <c r="E7" s="11"/>
      <c r="F7" s="9"/>
      <c r="G7" s="9">
        <f>'Post Customer Addition'!G7</f>
        <v>70298320.227264807</v>
      </c>
      <c r="H7" s="9">
        <f>'Post Customer Addition'!H7*1.1</f>
        <v>86911078.355159968</v>
      </c>
      <c r="I7" s="9">
        <f>'Post Customer Addition'!I7*0.93</f>
        <v>68334816.0985661</v>
      </c>
      <c r="J7" s="9">
        <f>'Post Customer Addition'!J7*0.93</f>
        <v>87615627.467453212</v>
      </c>
      <c r="K7" s="9">
        <v>94999196.710767895</v>
      </c>
      <c r="L7" s="9">
        <v>90091660.239712194</v>
      </c>
      <c r="M7" s="9">
        <f>'Post Customer Addition'!M7*1.1</f>
        <v>113546069.27398515</v>
      </c>
      <c r="N7" s="9">
        <f t="shared" si="0"/>
        <v>611796768.37290931</v>
      </c>
      <c r="P7" s="13"/>
    </row>
    <row r="8" spans="1:16">
      <c r="A8" s="10" t="s">
        <v>20</v>
      </c>
      <c r="B8" s="11"/>
      <c r="C8" s="11"/>
      <c r="D8" s="11"/>
      <c r="E8" s="11"/>
      <c r="F8" s="9"/>
      <c r="G8" s="9">
        <f>'Post Customer Addition'!G8</f>
        <v>248695.08562070405</v>
      </c>
      <c r="H8" s="9">
        <f>'Post Customer Addition'!H8*1.1</f>
        <v>290059.71511787147</v>
      </c>
      <c r="I8" s="9">
        <f>'Post Customer Addition'!I8*0.95</f>
        <v>227821.43221484081</v>
      </c>
      <c r="J8" s="9">
        <f>'Post Customer Addition'!J8*0.95</f>
        <v>284833.87117481441</v>
      </c>
      <c r="K8" s="11">
        <v>344094.57118925202</v>
      </c>
      <c r="L8" s="11">
        <v>323428.98481179785</v>
      </c>
      <c r="M8" s="9">
        <f>'Post Customer Addition'!M8*1.1</f>
        <v>378185.54118879337</v>
      </c>
      <c r="N8" s="9">
        <f t="shared" si="0"/>
        <v>2097119.201318074</v>
      </c>
    </row>
    <row r="9" spans="1:16">
      <c r="A9" s="14" t="s">
        <v>21</v>
      </c>
      <c r="B9" s="15">
        <f>SUM(B3:B8)</f>
        <v>0</v>
      </c>
      <c r="C9" s="15">
        <f t="shared" ref="C9:E9" si="1">SUM(C3:C8)</f>
        <v>0</v>
      </c>
      <c r="D9" s="15">
        <f t="shared" si="1"/>
        <v>0</v>
      </c>
      <c r="E9" s="15">
        <f t="shared" si="1"/>
        <v>0</v>
      </c>
      <c r="F9" s="15"/>
      <c r="G9" s="15">
        <f>SUM(G3:G8)</f>
        <v>169550007.53706264</v>
      </c>
      <c r="H9" s="15">
        <f t="shared" ref="H9:M9" si="2">SUM(H3:H8)</f>
        <v>232589917.13450506</v>
      </c>
      <c r="I9" s="15">
        <f t="shared" si="2"/>
        <v>175576317.4827114</v>
      </c>
      <c r="J9" s="15">
        <f t="shared" si="2"/>
        <v>235158145.43618116</v>
      </c>
      <c r="K9" s="15">
        <f t="shared" si="2"/>
        <v>244360815.25888202</v>
      </c>
      <c r="L9" s="15">
        <f t="shared" si="2"/>
        <v>234385233.13792989</v>
      </c>
      <c r="M9" s="15">
        <f t="shared" si="2"/>
        <v>287487993.4620502</v>
      </c>
      <c r="N9" s="15">
        <f t="shared" si="0"/>
        <v>1579108429.4493225</v>
      </c>
    </row>
    <row r="10" spans="1:16">
      <c r="A10" s="10" t="s">
        <v>22</v>
      </c>
      <c r="B10" s="16"/>
      <c r="C10" s="16"/>
      <c r="D10" s="16"/>
      <c r="E10" s="16"/>
      <c r="F10" s="9"/>
      <c r="G10" s="9">
        <f>'Post Customer Addition'!G10</f>
        <v>26609872.978393234</v>
      </c>
      <c r="H10" s="9">
        <f>'Post Customer Addition'!H10*1.1</f>
        <v>29636267.115853012</v>
      </c>
      <c r="I10" s="9">
        <f>'Post Customer Addition'!I10*0.95</f>
        <v>28677685.060940828</v>
      </c>
      <c r="J10" s="9">
        <f>'Post Customer Addition'!J10*0.95</f>
        <v>29911320.243598703</v>
      </c>
      <c r="K10" s="9">
        <v>27950086.607471388</v>
      </c>
      <c r="L10" s="9">
        <v>30284458.218018204</v>
      </c>
      <c r="M10" s="9">
        <f>'Post Customer Addition'!M10*1.1</f>
        <v>37128095.41665715</v>
      </c>
      <c r="N10" s="9">
        <f t="shared" si="0"/>
        <v>210197785.6409325</v>
      </c>
    </row>
    <row r="11" spans="1:16">
      <c r="A11" s="10" t="s">
        <v>23</v>
      </c>
      <c r="B11" s="16"/>
      <c r="C11" s="16"/>
      <c r="D11" s="16"/>
      <c r="E11" s="16"/>
      <c r="F11" s="9"/>
      <c r="G11" s="9">
        <f>'Post Customer Addition'!G11</f>
        <v>35455351.036956236</v>
      </c>
      <c r="H11" s="9">
        <f>'Post Customer Addition'!H11*1.1</f>
        <v>39464592.614943892</v>
      </c>
      <c r="I11" s="9">
        <f>'Post Customer Addition'!I11*0.95</f>
        <v>38281729.967367984</v>
      </c>
      <c r="J11" s="9">
        <f>'Post Customer Addition'!J11*0.95</f>
        <v>39844885.693274416</v>
      </c>
      <c r="K11" s="9">
        <v>37155232.659839764</v>
      </c>
      <c r="L11" s="9">
        <v>35309552.876593329</v>
      </c>
      <c r="M11" s="9">
        <f>'Post Customer Addition'!M11*1.1</f>
        <v>49414734.298962601</v>
      </c>
      <c r="N11" s="9">
        <f t="shared" si="0"/>
        <v>274926079.14793825</v>
      </c>
    </row>
    <row r="12" spans="1:16">
      <c r="A12" s="10" t="s">
        <v>24</v>
      </c>
      <c r="B12" s="16"/>
      <c r="C12" s="16"/>
      <c r="D12" s="16"/>
      <c r="E12" s="16"/>
      <c r="F12" s="9"/>
      <c r="G12" s="9">
        <f>'Post Customer Addition'!G12</f>
        <v>40151557.081405997</v>
      </c>
      <c r="H12" s="9">
        <f>'Post Customer Addition'!H12*1.1</f>
        <v>45724029.285103679</v>
      </c>
      <c r="I12" s="9">
        <f>'Post Customer Addition'!I12*0.95</f>
        <v>44680615.288692467</v>
      </c>
      <c r="J12" s="9">
        <f>'Post Customer Addition'!J12*0.95</f>
        <v>46213634.007998616</v>
      </c>
      <c r="K12" s="9">
        <v>42824829.897125453</v>
      </c>
      <c r="L12" s="9">
        <v>43781337.481261849</v>
      </c>
      <c r="M12" s="9">
        <f>'Post Customer Addition'!M12*1.1</f>
        <v>53510523.588208929</v>
      </c>
      <c r="N12" s="9">
        <f t="shared" si="0"/>
        <v>316886526.62979698</v>
      </c>
    </row>
    <row r="13" spans="1:16">
      <c r="A13" s="10" t="s">
        <v>25</v>
      </c>
      <c r="B13" s="16"/>
      <c r="C13" s="16"/>
      <c r="D13" s="16"/>
      <c r="E13" s="16"/>
      <c r="F13" s="9"/>
      <c r="G13" s="9">
        <f>'Post Customer Addition'!G13</f>
        <v>23161116.765095528</v>
      </c>
      <c r="H13" s="16">
        <v>23395106.823119964</v>
      </c>
      <c r="I13" s="16">
        <v>26470903.404842395</v>
      </c>
      <c r="J13" s="16">
        <v>27379135.983430859</v>
      </c>
      <c r="K13" s="16">
        <v>26780973.553458001</v>
      </c>
      <c r="L13" s="16">
        <v>25462915.914029893</v>
      </c>
      <c r="M13" s="9">
        <f>'Post Customer Addition'!M13</f>
        <v>22794404.099626083</v>
      </c>
      <c r="N13" s="9">
        <f t="shared" si="0"/>
        <v>175444556.54360273</v>
      </c>
    </row>
    <row r="14" spans="1:16">
      <c r="A14" s="10" t="s">
        <v>26</v>
      </c>
      <c r="B14" s="16"/>
      <c r="C14" s="16"/>
      <c r="D14" s="16"/>
      <c r="E14" s="16"/>
      <c r="F14" s="9"/>
      <c r="G14" s="9">
        <f>'Post Customer Addition'!G14</f>
        <v>13363287.146305254</v>
      </c>
      <c r="H14" s="9">
        <f>'Post Customer Addition'!H14*1.1</f>
        <v>14882056.608728355</v>
      </c>
      <c r="I14" s="9">
        <f>'Post Customer Addition'!I14*0.95</f>
        <v>14404997.383055048</v>
      </c>
      <c r="J14" s="9">
        <f>'Post Customer Addition'!J14*0.95</f>
        <v>15020820.488160636</v>
      </c>
      <c r="K14" s="9">
        <v>17235662.191586185</v>
      </c>
      <c r="L14" s="9">
        <v>17189697.829301152</v>
      </c>
      <c r="M14" s="9">
        <f>'Post Customer Addition'!M14*1.1</f>
        <v>14736132.440244569</v>
      </c>
      <c r="N14" s="9">
        <f t="shared" si="0"/>
        <v>106832654.0873812</v>
      </c>
    </row>
    <row r="15" spans="1:16">
      <c r="A15" s="17" t="s">
        <v>27</v>
      </c>
      <c r="B15" s="18">
        <f>SUM(B10:B14)</f>
        <v>0</v>
      </c>
      <c r="C15" s="18">
        <f t="shared" ref="C15:N15" si="3">SUM(C10:C14)</f>
        <v>0</v>
      </c>
      <c r="D15" s="18">
        <f t="shared" si="3"/>
        <v>0</v>
      </c>
      <c r="E15" s="18">
        <f t="shared" si="3"/>
        <v>0</v>
      </c>
      <c r="F15" s="18"/>
      <c r="G15" s="15">
        <f>SUM(G10:G14)</f>
        <v>138741185.00815627</v>
      </c>
      <c r="H15" s="15">
        <f t="shared" ref="H15:M15" si="4">SUM(H10:H14)</f>
        <v>153102052.4477489</v>
      </c>
      <c r="I15" s="15">
        <f t="shared" si="4"/>
        <v>152515931.10489875</v>
      </c>
      <c r="J15" s="15">
        <f t="shared" si="4"/>
        <v>158369796.41646323</v>
      </c>
      <c r="K15" s="15">
        <f t="shared" si="4"/>
        <v>151946784.90948081</v>
      </c>
      <c r="L15" s="15">
        <f t="shared" si="4"/>
        <v>152027962.31920442</v>
      </c>
      <c r="M15" s="15">
        <f t="shared" si="4"/>
        <v>177583889.84369931</v>
      </c>
      <c r="N15" s="18">
        <f t="shared" si="3"/>
        <v>1084287602.0496516</v>
      </c>
    </row>
    <row r="16" spans="1:16">
      <c r="A16" s="10" t="s">
        <v>28</v>
      </c>
      <c r="B16" s="16"/>
      <c r="C16" s="16"/>
      <c r="D16" s="16"/>
      <c r="E16" s="16"/>
      <c r="F16" s="9"/>
      <c r="G16" s="9">
        <f>'Post Customer Addition'!G16</f>
        <v>4003573.8669440947</v>
      </c>
      <c r="H16" s="9">
        <f>'Post Customer Addition'!H16*1.1</f>
        <v>5083921.0347001618</v>
      </c>
      <c r="I16" s="9">
        <f>'Post Customer Addition'!I16*0.95</f>
        <v>4311903.728009861</v>
      </c>
      <c r="J16" s="9">
        <f>'Post Customer Addition'!J16*0.95</f>
        <v>5223515.0860325992</v>
      </c>
      <c r="K16" s="9">
        <v>5230651.7159528257</v>
      </c>
      <c r="L16" s="9">
        <v>5215578.5823247526</v>
      </c>
      <c r="M16" s="9">
        <f>'Post Customer Addition'!M16*1.1</f>
        <v>6197257.2488594577</v>
      </c>
      <c r="N16" s="9">
        <f t="shared" si="0"/>
        <v>35266401.262823753</v>
      </c>
    </row>
    <row r="17" spans="1:14">
      <c r="A17" s="10" t="s">
        <v>29</v>
      </c>
      <c r="B17" s="16"/>
      <c r="C17" s="16"/>
      <c r="D17" s="16"/>
      <c r="E17" s="16"/>
      <c r="F17" s="9"/>
      <c r="G17" s="9">
        <f>'Post Customer Addition'!G17</f>
        <v>1387110.3116008784</v>
      </c>
      <c r="H17" s="9">
        <f>'Post Customer Addition'!H17*1.1</f>
        <v>1761416.0559949712</v>
      </c>
      <c r="I17" s="9">
        <f>'Post Customer Addition'!I17*0.95</f>
        <v>1493936.7481479933</v>
      </c>
      <c r="J17" s="9">
        <f>'Post Customer Addition'!J17*0.95</f>
        <v>1809780.930598662</v>
      </c>
      <c r="K17" s="9">
        <v>1812253.5446383734</v>
      </c>
      <c r="L17" s="9">
        <v>1807031.1858713056</v>
      </c>
      <c r="M17" s="9">
        <f>'Post Customer Addition'!M17*1.1</f>
        <v>2147151.4499862934</v>
      </c>
      <c r="N17" s="9">
        <f t="shared" si="0"/>
        <v>12218680.226838477</v>
      </c>
    </row>
    <row r="18" spans="1:14">
      <c r="A18" s="10" t="s">
        <v>30</v>
      </c>
      <c r="B18" s="16"/>
      <c r="C18" s="16"/>
      <c r="D18" s="16"/>
      <c r="E18" s="16"/>
      <c r="F18" s="9"/>
      <c r="G18" s="9">
        <f>'Post Customer Addition'!G18</f>
        <v>354831.66895446728</v>
      </c>
      <c r="H18" s="9">
        <f>'Post Customer Addition'!H18*1.1</f>
        <v>450581.46684135374</v>
      </c>
      <c r="I18" s="9">
        <f>'Post Customer Addition'!I18*0.95</f>
        <v>382158.55309010914</v>
      </c>
      <c r="J18" s="9">
        <f>'Post Customer Addition'!J18*0.95</f>
        <v>462953.51038459217</v>
      </c>
      <c r="K18" s="9">
        <v>463586.02083387179</v>
      </c>
      <c r="L18" s="9">
        <v>462250.10813702288</v>
      </c>
      <c r="M18" s="9">
        <f>'Post Customer Addition'!M18*1.1</f>
        <v>549255.04202859709</v>
      </c>
      <c r="N18" s="9">
        <f t="shared" si="0"/>
        <v>3125616.3702700138</v>
      </c>
    </row>
    <row r="19" spans="1:14">
      <c r="A19" s="10" t="s">
        <v>31</v>
      </c>
      <c r="B19" s="16"/>
      <c r="C19" s="16"/>
      <c r="D19" s="16"/>
      <c r="E19" s="16"/>
      <c r="F19" s="9"/>
      <c r="G19" s="9">
        <f>'Post Customer Addition'!G19</f>
        <v>19452151.029890411</v>
      </c>
      <c r="H19" s="9">
        <f>'Post Customer Addition'!H19*1.1</f>
        <v>24701230.220215447</v>
      </c>
      <c r="I19" s="9">
        <f>'Post Customer Addition'!I19*0.95</f>
        <v>20950232.30022661</v>
      </c>
      <c r="J19" s="9">
        <f>'Post Customer Addition'!J19*0.95</f>
        <v>25379475.373080701</v>
      </c>
      <c r="K19" s="9">
        <v>25414150.093134928</v>
      </c>
      <c r="L19" s="9">
        <v>25340914.308915265</v>
      </c>
      <c r="M19" s="9">
        <f>'Post Customer Addition'!M19*1.1</f>
        <v>30110593.180565555</v>
      </c>
      <c r="N19" s="9">
        <f t="shared" si="0"/>
        <v>171348746.50602892</v>
      </c>
    </row>
    <row r="20" spans="1:14">
      <c r="A20" s="10" t="s">
        <v>32</v>
      </c>
      <c r="B20" s="16"/>
      <c r="C20" s="16"/>
      <c r="D20" s="16"/>
      <c r="E20" s="16"/>
      <c r="F20" s="9"/>
      <c r="G20" s="9">
        <f>'Post Customer Addition'!G20</f>
        <v>426915.79112419114</v>
      </c>
      <c r="H20" s="9">
        <f>'Post Customer Addition'!H20*1.1</f>
        <v>542117.1789690482</v>
      </c>
      <c r="I20" s="9">
        <f>'Post Customer Addition'!I20*0.95</f>
        <v>459794.13705679082</v>
      </c>
      <c r="J20" s="9">
        <f>'Post Customer Addition'!J20*0.95</f>
        <v>557002.60555075051</v>
      </c>
      <c r="K20" s="9">
        <v>557763.6106201238</v>
      </c>
      <c r="L20" s="9">
        <v>556156.30700055498</v>
      </c>
      <c r="M20" s="9">
        <f>'Post Customer Addition'!M20*1.1</f>
        <v>660836.31003826519</v>
      </c>
      <c r="N20" s="9">
        <f t="shared" si="0"/>
        <v>3760585.9403597247</v>
      </c>
    </row>
    <row r="21" spans="1:14">
      <c r="A21" s="17" t="s">
        <v>33</v>
      </c>
      <c r="B21" s="18">
        <f>SUM(B16:B20)</f>
        <v>0</v>
      </c>
      <c r="C21" s="18">
        <f t="shared" ref="C21:N21" si="5">SUM(C16:C20)</f>
        <v>0</v>
      </c>
      <c r="D21" s="18">
        <f t="shared" si="5"/>
        <v>0</v>
      </c>
      <c r="E21" s="18">
        <f t="shared" si="5"/>
        <v>0</v>
      </c>
      <c r="F21" s="18"/>
      <c r="G21" s="18">
        <f>SUM(G16:G20)</f>
        <v>25624582.668514043</v>
      </c>
      <c r="H21" s="18">
        <f>SUM(H16:H20)</f>
        <v>32539265.956720982</v>
      </c>
      <c r="I21" s="18">
        <f t="shared" ref="I21:M21" si="6">SUM(I16:I20)</f>
        <v>27598025.466531366</v>
      </c>
      <c r="J21" s="18">
        <f t="shared" si="6"/>
        <v>33432727.505647305</v>
      </c>
      <c r="K21" s="18">
        <f t="shared" si="6"/>
        <v>33478404.985180121</v>
      </c>
      <c r="L21" s="18">
        <f t="shared" si="6"/>
        <v>33381930.4922489</v>
      </c>
      <c r="M21" s="18">
        <f t="shared" si="6"/>
        <v>39665093.23147817</v>
      </c>
      <c r="N21" s="18">
        <f t="shared" si="5"/>
        <v>225720030.30632088</v>
      </c>
    </row>
    <row r="22" spans="1:14">
      <c r="A22" s="10" t="s">
        <v>34</v>
      </c>
      <c r="B22" s="16"/>
      <c r="C22" s="16"/>
      <c r="D22" s="16"/>
      <c r="E22" s="16"/>
      <c r="F22" s="9"/>
      <c r="G22" s="9">
        <f>'Post Customer Addition'!G22</f>
        <v>22960760.535964381</v>
      </c>
      <c r="H22" s="9">
        <f>'Post Customer Addition'!H22*1.1</f>
        <v>32023961.525601514</v>
      </c>
      <c r="I22" s="9">
        <f>'Post Customer Addition'!I22*0.95</f>
        <v>27879738.51149701</v>
      </c>
      <c r="J22" s="9">
        <f>'Post Customer Addition'!J22*0.95</f>
        <v>35583314.407401882</v>
      </c>
      <c r="K22" s="9">
        <v>35122168.819138788</v>
      </c>
      <c r="L22" s="9">
        <v>36697950.969976865</v>
      </c>
      <c r="M22" s="9">
        <f>'Post Customer Addition'!M22*1.1</f>
        <v>42368848.021392725</v>
      </c>
      <c r="N22" s="9">
        <f t="shared" si="0"/>
        <v>232636742.79097319</v>
      </c>
    </row>
    <row r="23" spans="1:14">
      <c r="A23" s="10" t="s">
        <v>35</v>
      </c>
      <c r="B23" s="16"/>
      <c r="C23" s="16"/>
      <c r="D23" s="16"/>
      <c r="E23" s="16"/>
      <c r="F23" s="9"/>
      <c r="G23" s="9">
        <f>'Post Customer Addition'!G23</f>
        <v>18834302.881999999</v>
      </c>
      <c r="H23" s="9">
        <f>'Post Customer Addition'!H23*1.1</f>
        <v>24133404.931899998</v>
      </c>
      <c r="I23" s="9">
        <f>'Post Customer Addition'!I23*0.95</f>
        <v>24571350.027199995</v>
      </c>
      <c r="J23" s="9">
        <f>'Post Customer Addition'!J23*0.95</f>
        <v>21984009.39305</v>
      </c>
      <c r="K23" s="9">
        <v>29596915.496700004</v>
      </c>
      <c r="L23" s="9">
        <v>26582724.973700002</v>
      </c>
      <c r="M23" s="9">
        <f>'Post Customer Addition'!M23*1.1</f>
        <v>44802100.225300007</v>
      </c>
      <c r="N23" s="9">
        <f t="shared" si="0"/>
        <v>190504807.92985001</v>
      </c>
    </row>
    <row r="24" spans="1:14">
      <c r="A24" s="10" t="s">
        <v>36</v>
      </c>
      <c r="B24" s="16"/>
      <c r="C24" s="16"/>
      <c r="D24" s="16"/>
      <c r="E24" s="16"/>
      <c r="F24" s="9"/>
      <c r="G24" s="9">
        <f>'Post Customer Addition'!G24</f>
        <v>0</v>
      </c>
      <c r="H24" s="9">
        <f>'Post Customer Addition'!H24*1.1</f>
        <v>0</v>
      </c>
      <c r="I24" s="9">
        <f>'Post Customer Addition'!I24*0.95</f>
        <v>0</v>
      </c>
      <c r="J24" s="9">
        <f>'Post Customer Addition'!J24*0.95</f>
        <v>0</v>
      </c>
      <c r="K24" s="9">
        <v>0</v>
      </c>
      <c r="L24" s="9">
        <v>0</v>
      </c>
      <c r="M24" s="9">
        <f>'Post Customer Addition'!M24*1.1</f>
        <v>0</v>
      </c>
      <c r="N24" s="9">
        <f t="shared" si="0"/>
        <v>0</v>
      </c>
    </row>
    <row r="25" spans="1:14">
      <c r="A25" s="10" t="s">
        <v>37</v>
      </c>
      <c r="B25" s="16"/>
      <c r="C25" s="16"/>
      <c r="D25" s="16"/>
      <c r="E25" s="16"/>
      <c r="F25" s="9"/>
      <c r="G25" s="9">
        <f>'Post Customer Addition'!G25</f>
        <v>8908352.8000000007</v>
      </c>
      <c r="H25" s="9">
        <f>'Post Customer Addition'!H25*1.1</f>
        <v>10032988.597500002</v>
      </c>
      <c r="I25" s="9">
        <f>'Post Customer Addition'!I25*0.95</f>
        <v>8316223.857499999</v>
      </c>
      <c r="J25" s="9">
        <f>'Post Customer Addition'!J25*0.95</f>
        <v>12801179.046875</v>
      </c>
      <c r="K25" s="9">
        <v>15758805.15</v>
      </c>
      <c r="L25" s="9">
        <v>13867385.47875</v>
      </c>
      <c r="M25" s="9">
        <f>'Post Customer Addition'!M25*1.1</f>
        <v>14623116.475000001</v>
      </c>
      <c r="N25" s="9">
        <f t="shared" si="0"/>
        <v>84308051.405624986</v>
      </c>
    </row>
    <row r="26" spans="1:14">
      <c r="A26" s="10" t="s">
        <v>38</v>
      </c>
      <c r="B26" s="16"/>
      <c r="C26" s="16"/>
      <c r="D26" s="16"/>
      <c r="E26" s="16"/>
      <c r="F26" s="9"/>
      <c r="G26" s="9">
        <f>'Post Customer Addition'!G26</f>
        <v>23202410.132660002</v>
      </c>
      <c r="H26" s="9">
        <f>'Post Customer Addition'!H26*1.1</f>
        <v>36180083.984308004</v>
      </c>
      <c r="I26" s="9">
        <f>'Post Customer Addition'!I26*0.95</f>
        <v>23602913.798144992</v>
      </c>
      <c r="J26" s="9">
        <f>'Post Customer Addition'!J26*0.95</f>
        <v>31942929.483992986</v>
      </c>
      <c r="K26" s="9">
        <v>34742486.645459987</v>
      </c>
      <c r="L26" s="9">
        <v>34559334.141847998</v>
      </c>
      <c r="M26" s="9">
        <f>'Post Customer Addition'!M26*1.1</f>
        <v>49707901.971441999</v>
      </c>
      <c r="N26" s="9">
        <f t="shared" si="0"/>
        <v>233938060.15785599</v>
      </c>
    </row>
    <row r="27" spans="1:14">
      <c r="A27" s="10" t="s">
        <v>39</v>
      </c>
      <c r="B27" s="16"/>
      <c r="C27" s="16"/>
      <c r="D27" s="16"/>
      <c r="E27" s="16"/>
      <c r="F27" s="16"/>
      <c r="G27" s="9">
        <f>'Post Customer Addition'!G27</f>
        <v>5093211.9803400002</v>
      </c>
      <c r="H27" s="9">
        <f>'Post Customer Addition'!H27*1.1</f>
        <v>7941969.655092001</v>
      </c>
      <c r="I27" s="9">
        <f>'Post Customer Addition'!I27*0.95</f>
        <v>5181127.4191049989</v>
      </c>
      <c r="J27" s="9">
        <f>'Post Customer Addition'!J27*0.95</f>
        <v>7011862.5696569979</v>
      </c>
      <c r="K27" s="16">
        <v>8473777.2305999957</v>
      </c>
      <c r="L27" s="16">
        <v>8673008.3272800017</v>
      </c>
      <c r="M27" s="9">
        <f>'Post Customer Addition'!M27*1.1</f>
        <v>10911490.676657999</v>
      </c>
      <c r="N27" s="9">
        <f t="shared" si="0"/>
        <v>53286447.858731993</v>
      </c>
    </row>
    <row r="28" spans="1:14">
      <c r="A28" s="10" t="s">
        <v>40</v>
      </c>
      <c r="B28" s="16"/>
      <c r="C28" s="16"/>
      <c r="D28" s="16"/>
      <c r="E28" s="16"/>
      <c r="F28" s="9"/>
      <c r="G28" s="9">
        <f>'Post Customer Addition'!G28</f>
        <v>905256.57017601351</v>
      </c>
      <c r="H28" s="9">
        <f>'Post Customer Addition'!H28*1.1</f>
        <v>1262584.5528377236</v>
      </c>
      <c r="I28" s="9">
        <f>'Post Customer Addition'!I28*0.95</f>
        <v>1099193.4009672757</v>
      </c>
      <c r="J28" s="9">
        <f>'Post Customer Addition'!J28*0.95</f>
        <v>1402916.4715813454</v>
      </c>
      <c r="K28" s="9">
        <v>1384735.2326398492</v>
      </c>
      <c r="L28" s="9">
        <v>1446862.4057784693</v>
      </c>
      <c r="M28" s="9">
        <f>'Post Customer Addition'!M28*1.1</f>
        <v>1670444.582272362</v>
      </c>
      <c r="N28" s="9">
        <f t="shared" si="0"/>
        <v>9171993.2162530385</v>
      </c>
    </row>
    <row r="29" spans="1:14">
      <c r="A29" s="10" t="s">
        <v>41</v>
      </c>
      <c r="B29" s="16"/>
      <c r="C29" s="16"/>
      <c r="D29" s="16"/>
      <c r="E29" s="16"/>
      <c r="F29" s="9"/>
      <c r="G29" s="9">
        <f>'Post Customer Addition'!G29</f>
        <v>9830792.25</v>
      </c>
      <c r="H29" s="9">
        <f>'Post Customer Addition'!H29*1.1</f>
        <v>12198870.640000001</v>
      </c>
      <c r="I29" s="9">
        <f>'Post Customer Addition'!I29*0.95</f>
        <v>7573154.9598499993</v>
      </c>
      <c r="J29" s="9">
        <f>'Post Customer Addition'!J29*0.95</f>
        <v>8863024.2399999984</v>
      </c>
      <c r="K29" s="9">
        <v>18433044.592200004</v>
      </c>
      <c r="L29" s="9">
        <v>14547984.063750001</v>
      </c>
      <c r="M29" s="9">
        <f>'Post Customer Addition'!M29*1.1</f>
        <v>15724178.3325</v>
      </c>
      <c r="N29" s="9">
        <f t="shared" si="0"/>
        <v>87171049.078299999</v>
      </c>
    </row>
    <row r="30" spans="1:14">
      <c r="A30" s="10" t="s">
        <v>42</v>
      </c>
      <c r="B30" s="16"/>
      <c r="C30" s="16"/>
      <c r="D30" s="16"/>
      <c r="E30" s="16"/>
      <c r="F30" s="9"/>
      <c r="G30" s="9">
        <f>'Post Customer Addition'!G30</f>
        <v>27672069.361999996</v>
      </c>
      <c r="H30" s="9">
        <f>'Post Customer Addition'!H30*1.1</f>
        <v>33186586.020280004</v>
      </c>
      <c r="I30" s="9">
        <f>'Post Customer Addition'!I30*0.95</f>
        <v>25587779.529409993</v>
      </c>
      <c r="J30" s="9">
        <f>'Post Customer Addition'!J30*0.95</f>
        <v>40298924.987335004</v>
      </c>
      <c r="K30" s="9">
        <v>41149200.918150008</v>
      </c>
      <c r="L30" s="9">
        <v>50561669.85983</v>
      </c>
      <c r="M30" s="9">
        <f>'Post Customer Addition'!M30*1.1</f>
        <v>67156136.962200001</v>
      </c>
      <c r="N30" s="9">
        <f t="shared" si="0"/>
        <v>285612367.63920498</v>
      </c>
    </row>
    <row r="31" spans="1:14">
      <c r="A31" s="10" t="s">
        <v>43</v>
      </c>
      <c r="B31" s="16"/>
      <c r="C31" s="16"/>
      <c r="D31" s="16"/>
      <c r="E31" s="16"/>
      <c r="F31" s="9"/>
      <c r="G31" s="9">
        <f>'Post Customer Addition'!G31</f>
        <v>11273623.462499999</v>
      </c>
      <c r="H31" s="9">
        <f>'Post Customer Addition'!H31*1.1</f>
        <v>16141803.040000003</v>
      </c>
      <c r="I31" s="9">
        <f>'Post Customer Addition'!I31*0.95</f>
        <v>14993480.592499999</v>
      </c>
      <c r="J31" s="9">
        <f>'Post Customer Addition'!J31*0.95</f>
        <v>16795206.322499998</v>
      </c>
      <c r="K31" s="9">
        <v>17520747.254999999</v>
      </c>
      <c r="L31" s="9">
        <v>19189198.25</v>
      </c>
      <c r="M31" s="9">
        <f>'Post Customer Addition'!M31*1.1</f>
        <v>23826189.475000001</v>
      </c>
      <c r="N31" s="9">
        <f t="shared" si="0"/>
        <v>119740248.39750001</v>
      </c>
    </row>
    <row r="32" spans="1:14">
      <c r="A32" s="10" t="s">
        <v>44</v>
      </c>
      <c r="B32" s="16"/>
      <c r="C32" s="16"/>
      <c r="D32" s="16"/>
      <c r="E32" s="16"/>
      <c r="F32" s="16"/>
      <c r="G32" s="9">
        <f>'Post Customer Addition'!G32</f>
        <v>5427059.875</v>
      </c>
      <c r="H32" s="9">
        <f>'Post Customer Addition'!H32*1.1</f>
        <v>9344751.3785999995</v>
      </c>
      <c r="I32" s="9">
        <f>'Post Customer Addition'!I32*0.95</f>
        <v>7596349.9584499998</v>
      </c>
      <c r="J32" s="9">
        <f>'Post Customer Addition'!J32*0.95</f>
        <v>8041995.282399999</v>
      </c>
      <c r="K32" s="16">
        <v>10645446.729999999</v>
      </c>
      <c r="L32" s="16">
        <v>9647334.4635000005</v>
      </c>
      <c r="M32" s="9">
        <f>'Post Customer Addition'!M32*1.1</f>
        <v>13151483.912049999</v>
      </c>
      <c r="N32" s="9">
        <f t="shared" si="0"/>
        <v>63854421.599999994</v>
      </c>
    </row>
    <row r="33" spans="1:14">
      <c r="A33" s="17" t="s">
        <v>45</v>
      </c>
      <c r="B33" s="18">
        <f>SUM(B22:B32)</f>
        <v>0</v>
      </c>
      <c r="C33" s="18">
        <f t="shared" ref="C33:N33" si="7">SUM(C22:C32)</f>
        <v>0</v>
      </c>
      <c r="D33" s="18">
        <f t="shared" si="7"/>
        <v>0</v>
      </c>
      <c r="E33" s="18">
        <f t="shared" si="7"/>
        <v>0</v>
      </c>
      <c r="F33" s="18"/>
      <c r="G33" s="18">
        <f>SUM(G22:G32)</f>
        <v>134107839.85064042</v>
      </c>
      <c r="H33" s="18">
        <f>SUM(H22:H32)</f>
        <v>182447004.32611927</v>
      </c>
      <c r="I33" s="18">
        <f t="shared" ref="I33:M33" si="8">SUM(I22:I32)</f>
        <v>146401312.05462423</v>
      </c>
      <c r="J33" s="18">
        <f t="shared" si="8"/>
        <v>184725362.20479321</v>
      </c>
      <c r="K33" s="18">
        <f t="shared" si="8"/>
        <v>212827328.06988862</v>
      </c>
      <c r="L33" s="18">
        <f t="shared" si="8"/>
        <v>215773452.93441331</v>
      </c>
      <c r="M33" s="18">
        <f t="shared" si="8"/>
        <v>283941890.63381511</v>
      </c>
      <c r="N33" s="18">
        <f t="shared" si="7"/>
        <v>1360224190.0742941</v>
      </c>
    </row>
    <row r="34" spans="1:14">
      <c r="A34" s="10" t="s">
        <v>46</v>
      </c>
      <c r="B34" s="16"/>
      <c r="C34" s="16"/>
      <c r="D34" s="16"/>
      <c r="E34" s="16"/>
      <c r="F34" s="9"/>
      <c r="G34" s="9">
        <f>'Post Customer Addition'!G34</f>
        <v>10573767.445405673</v>
      </c>
      <c r="H34" s="9">
        <f>'Post Customer Addition'!H34*1.1</f>
        <v>12863755.362310421</v>
      </c>
      <c r="I34" s="16">
        <v>13887570.439256361</v>
      </c>
      <c r="J34" s="16">
        <v>14260945.638713393</v>
      </c>
      <c r="K34" s="16">
        <v>16183403.89491955</v>
      </c>
      <c r="L34" s="16">
        <v>15410240.59442619</v>
      </c>
      <c r="M34" s="9">
        <f>'Post Customer Addition'!M34*1.1</f>
        <v>17198744.570699893</v>
      </c>
      <c r="N34" s="9">
        <f t="shared" si="0"/>
        <v>100378427.94573146</v>
      </c>
    </row>
    <row r="35" spans="1:14">
      <c r="A35" s="10" t="s">
        <v>47</v>
      </c>
      <c r="B35" s="16"/>
      <c r="C35" s="16"/>
      <c r="D35" s="16"/>
      <c r="E35" s="16"/>
      <c r="F35" s="9"/>
      <c r="G35" s="9">
        <f>'Post Customer Addition'!G35</f>
        <v>8834658.9166448228</v>
      </c>
      <c r="H35" s="9">
        <f>'Post Customer Addition'!H35*1.1</f>
        <v>7969099.2373368656</v>
      </c>
      <c r="I35" s="16">
        <v>8603352.8995892312</v>
      </c>
      <c r="J35" s="16">
        <v>8834658.9166448228</v>
      </c>
      <c r="K35" s="16">
        <v>10025622.223381154</v>
      </c>
      <c r="L35" s="16">
        <v>9546647.3910121527</v>
      </c>
      <c r="M35" s="9">
        <f>'Post Customer Addition'!M35*1.1</f>
        <v>11028184.44571927</v>
      </c>
      <c r="N35" s="9">
        <f t="shared" si="0"/>
        <v>64842224.030328318</v>
      </c>
    </row>
    <row r="36" spans="1:14">
      <c r="A36" s="10" t="s">
        <v>48</v>
      </c>
      <c r="B36" s="16"/>
      <c r="C36" s="16"/>
      <c r="D36" s="16"/>
      <c r="E36" s="16"/>
      <c r="F36" s="9"/>
      <c r="G36" s="9">
        <f>'Post Customer Addition'!G36</f>
        <v>3007766.7179791005</v>
      </c>
      <c r="H36" s="9">
        <f>'Post Customer Addition'!H36*1.1</f>
        <v>3308543.3897770108</v>
      </c>
      <c r="I36" s="16">
        <v>3007766.7179791005</v>
      </c>
      <c r="J36" s="16">
        <v>3007766.7179791005</v>
      </c>
      <c r="K36" s="16">
        <v>3007766.7179791005</v>
      </c>
      <c r="L36" s="16">
        <v>3007766.7179791005</v>
      </c>
      <c r="M36" s="9">
        <f>'Post Customer Addition'!M36*1.1</f>
        <v>3308543.3897770108</v>
      </c>
      <c r="N36" s="9">
        <f t="shared" si="0"/>
        <v>21655920.369449522</v>
      </c>
    </row>
    <row r="37" spans="1:14">
      <c r="A37" s="10" t="s">
        <v>49</v>
      </c>
      <c r="B37" s="16"/>
      <c r="C37" s="16"/>
      <c r="D37" s="16"/>
      <c r="E37" s="16"/>
      <c r="F37" s="9"/>
      <c r="G37" s="9">
        <f>'Post Customer Addition'!G37</f>
        <v>2005177.8119860673</v>
      </c>
      <c r="H37" s="9">
        <f>'Post Customer Addition'!H37*1.1</f>
        <v>2205695.5931846742</v>
      </c>
      <c r="I37" s="16">
        <v>2005177.8119860673</v>
      </c>
      <c r="J37" s="16">
        <v>2005177.8119860673</v>
      </c>
      <c r="K37" s="16">
        <v>2005177.8119860673</v>
      </c>
      <c r="L37" s="16">
        <v>2005177.8119860673</v>
      </c>
      <c r="M37" s="9">
        <f>'Post Customer Addition'!M37*1.1</f>
        <v>2205695.5931846742</v>
      </c>
      <c r="N37" s="9">
        <f t="shared" si="0"/>
        <v>14437280.246299686</v>
      </c>
    </row>
    <row r="38" spans="1:14">
      <c r="A38" s="10" t="s">
        <v>50</v>
      </c>
      <c r="B38" s="16"/>
      <c r="C38" s="16"/>
      <c r="D38" s="16"/>
      <c r="E38" s="16"/>
      <c r="F38" s="9"/>
      <c r="G38" s="9">
        <f>'Post Customer Addition'!G38</f>
        <v>1804660.0307874605</v>
      </c>
      <c r="H38" s="9">
        <f>'Post Customer Addition'!H38*1.1</f>
        <v>1985126.0338662066</v>
      </c>
      <c r="I38" s="16">
        <v>1804660.0307874605</v>
      </c>
      <c r="J38" s="16">
        <v>1804660.0307874605</v>
      </c>
      <c r="K38" s="16">
        <v>1804660.0307874605</v>
      </c>
      <c r="L38" s="16">
        <v>1804660.0307874605</v>
      </c>
      <c r="M38" s="9">
        <f>'Post Customer Addition'!M38*1.1</f>
        <v>1985126.0338662066</v>
      </c>
      <c r="N38" s="9">
        <f t="shared" si="0"/>
        <v>12993552.221669715</v>
      </c>
    </row>
    <row r="39" spans="1:14">
      <c r="A39" s="10" t="s">
        <v>51</v>
      </c>
      <c r="B39" s="16"/>
      <c r="C39" s="16"/>
      <c r="D39" s="16"/>
      <c r="E39" s="16"/>
      <c r="F39" s="9"/>
      <c r="G39" s="9">
        <f>'Post Customer Addition'!G39</f>
        <v>500000</v>
      </c>
      <c r="H39" s="9">
        <f>'Post Customer Addition'!H39*1.1</f>
        <v>550000</v>
      </c>
      <c r="I39" s="16">
        <v>500000</v>
      </c>
      <c r="J39" s="16">
        <v>500000</v>
      </c>
      <c r="K39" s="16">
        <v>500000</v>
      </c>
      <c r="L39" s="16">
        <v>500000</v>
      </c>
      <c r="M39" s="9">
        <f>'Post Customer Addition'!M39*1.1</f>
        <v>550000</v>
      </c>
      <c r="N39" s="9">
        <f t="shared" si="0"/>
        <v>3600000</v>
      </c>
    </row>
    <row r="40" spans="1:14">
      <c r="A40" s="10" t="s">
        <v>52</v>
      </c>
      <c r="B40" s="16"/>
      <c r="C40" s="16"/>
      <c r="D40" s="16"/>
      <c r="E40" s="16"/>
      <c r="F40" s="9"/>
      <c r="G40" s="9">
        <f>'Post Customer Addition'!G40</f>
        <v>500000</v>
      </c>
      <c r="H40" s="9">
        <f>'Post Customer Addition'!H40*1.1</f>
        <v>550000</v>
      </c>
      <c r="I40" s="16">
        <v>500000</v>
      </c>
      <c r="J40" s="16">
        <v>500000</v>
      </c>
      <c r="K40" s="16">
        <v>500000</v>
      </c>
      <c r="L40" s="16">
        <v>500000</v>
      </c>
      <c r="M40" s="9">
        <f>'Post Customer Addition'!M40*1.1</f>
        <v>550000</v>
      </c>
      <c r="N40" s="9">
        <f t="shared" si="0"/>
        <v>3600000</v>
      </c>
    </row>
    <row r="41" spans="1:14">
      <c r="A41" s="10" t="s">
        <v>53</v>
      </c>
      <c r="B41" s="16"/>
      <c r="C41" s="16"/>
      <c r="D41" s="16"/>
      <c r="E41" s="16"/>
      <c r="F41" s="9"/>
      <c r="G41" s="9">
        <f>'Post Customer Addition'!G41</f>
        <v>3692773.6935632853</v>
      </c>
      <c r="H41" s="9">
        <f>'Post Customer Addition'!H41*1.1</f>
        <v>4492527.1571972873</v>
      </c>
      <c r="I41" s="16">
        <v>4850083.4778502602</v>
      </c>
      <c r="J41" s="16">
        <v>4980480.7200350184</v>
      </c>
      <c r="K41" s="16">
        <v>5651878.4325481923</v>
      </c>
      <c r="L41" s="16">
        <v>5381859.5285357917</v>
      </c>
      <c r="M41" s="9">
        <f>'Post Customer Addition'!M41*1.1</f>
        <v>6006475.1604302255</v>
      </c>
      <c r="N41" s="9">
        <f t="shared" si="0"/>
        <v>35056078.170160063</v>
      </c>
    </row>
    <row r="42" spans="1:14">
      <c r="A42" s="10" t="s">
        <v>54</v>
      </c>
      <c r="B42" s="16"/>
      <c r="C42" s="16"/>
      <c r="D42" s="16"/>
      <c r="E42" s="16"/>
      <c r="F42" s="9"/>
      <c r="G42" s="9">
        <f>'Post Customer Addition'!G42</f>
        <v>7354709.4346729685</v>
      </c>
      <c r="H42" s="9">
        <f>'Post Customer Addition'!H42*1.1</f>
        <v>8090180.3781402661</v>
      </c>
      <c r="I42" s="16">
        <v>7354709.4346729685</v>
      </c>
      <c r="J42" s="16">
        <v>8065421.6469397414</v>
      </c>
      <c r="K42" s="16">
        <v>8988888.0817900989</v>
      </c>
      <c r="L42" s="16">
        <v>8759631.7745538987</v>
      </c>
      <c r="M42" s="9">
        <f>'Post Customer Addition'!M42*1.1</f>
        <v>8660210.3345167469</v>
      </c>
      <c r="N42" s="9">
        <f t="shared" si="0"/>
        <v>57273751.085286692</v>
      </c>
    </row>
    <row r="43" spans="1:14">
      <c r="A43" s="10" t="s">
        <v>55</v>
      </c>
      <c r="B43" s="16"/>
      <c r="C43" s="16"/>
      <c r="D43" s="16"/>
      <c r="E43" s="16"/>
      <c r="F43" s="9"/>
      <c r="G43" s="9">
        <f>'Post Customer Addition'!G43</f>
        <v>1099354.8348337086</v>
      </c>
      <c r="H43" s="9">
        <f>'Post Customer Addition'!H43*1.1</f>
        <v>1209290.3183170795</v>
      </c>
      <c r="I43" s="16">
        <v>1070571.9026825752</v>
      </c>
      <c r="J43" s="16">
        <v>1099354.8348337086</v>
      </c>
      <c r="K43" s="16">
        <v>1247554.2482715466</v>
      </c>
      <c r="L43" s="16">
        <v>1187952.2531411557</v>
      </c>
      <c r="M43" s="9">
        <f>'Post Customer Addition'!M43*1.1</f>
        <v>1325825.3327564565</v>
      </c>
      <c r="N43" s="9">
        <f t="shared" si="0"/>
        <v>8239903.7248362303</v>
      </c>
    </row>
    <row r="44" spans="1:14">
      <c r="A44" s="17" t="s">
        <v>56</v>
      </c>
      <c r="B44" s="18">
        <f>SUM(B34:B43)</f>
        <v>0</v>
      </c>
      <c r="C44" s="18">
        <f t="shared" ref="C44:N44" si="9">SUM(C34:C43)</f>
        <v>0</v>
      </c>
      <c r="D44" s="18">
        <f t="shared" si="9"/>
        <v>0</v>
      </c>
      <c r="E44" s="18">
        <f t="shared" si="9"/>
        <v>0</v>
      </c>
      <c r="F44" s="18"/>
      <c r="G44" s="18">
        <f>SUM(G34:G43)</f>
        <v>39372868.885873087</v>
      </c>
      <c r="H44" s="18">
        <f>SUM(H34:H43)</f>
        <v>43224217.47012981</v>
      </c>
      <c r="I44" s="18">
        <f>SUM(I34:I43)</f>
        <v>43583892.714804016</v>
      </c>
      <c r="J44" s="18">
        <v>45058466.317919314</v>
      </c>
      <c r="K44" s="18">
        <v>49914951.441663176</v>
      </c>
      <c r="L44" s="18">
        <v>48103936.102421813</v>
      </c>
      <c r="M44" s="18">
        <v>48017095.328136794</v>
      </c>
      <c r="N44" s="18">
        <f t="shared" si="9"/>
        <v>322077137.79376167</v>
      </c>
    </row>
    <row r="45" spans="1:14">
      <c r="A45" s="10" t="s">
        <v>57</v>
      </c>
      <c r="B45" s="16"/>
      <c r="C45" s="16"/>
      <c r="D45" s="16"/>
      <c r="E45" s="16"/>
      <c r="F45" s="16"/>
      <c r="G45" s="9">
        <f>'Post Customer Addition'!G45</f>
        <v>3388295.5983985025</v>
      </c>
      <c r="H45" s="16">
        <v>3388295.5983985025</v>
      </c>
      <c r="I45" s="16">
        <v>3388295.5983985025</v>
      </c>
      <c r="J45" s="16">
        <v>3639272.4548722738</v>
      </c>
      <c r="K45" s="16">
        <v>3388295.5983985025</v>
      </c>
      <c r="L45" s="16">
        <v>3388295.5983985025</v>
      </c>
      <c r="M45" s="16">
        <v>3388295.5983985025</v>
      </c>
      <c r="N45" s="9">
        <f t="shared" si="0"/>
        <v>23969046.04526329</v>
      </c>
    </row>
    <row r="46" spans="1:14">
      <c r="A46" s="17" t="s">
        <v>58</v>
      </c>
      <c r="B46" s="18">
        <f>B45+B44+B33+B21+B15+B9</f>
        <v>0</v>
      </c>
      <c r="C46" s="18">
        <f>C45+C44+C33+C21+C15+C9</f>
        <v>0</v>
      </c>
      <c r="D46" s="18">
        <f>D45+D44+D33+D21+D15+D9</f>
        <v>0</v>
      </c>
      <c r="E46" s="18">
        <f>E45+E44+E33+E21+E15+E9</f>
        <v>0</v>
      </c>
      <c r="F46" s="18"/>
      <c r="G46" s="18">
        <f>G45+G44+G33+G21+G15+G9</f>
        <v>510784779.54864496</v>
      </c>
      <c r="H46" s="18">
        <f>H45+H44+H33+H21+H15+H9</f>
        <v>647290752.93362248</v>
      </c>
      <c r="I46" s="18">
        <f>I45+I44+I33+I21+I15+I9</f>
        <v>549063774.42196834</v>
      </c>
      <c r="J46" s="18">
        <f t="shared" ref="J46:M46" si="10">J45+J44+J33+J21+J15+J9</f>
        <v>660383770.33587646</v>
      </c>
      <c r="K46" s="18">
        <f t="shared" si="10"/>
        <v>695916580.2634933</v>
      </c>
      <c r="L46" s="18">
        <f t="shared" si="10"/>
        <v>687060810.5846169</v>
      </c>
      <c r="M46" s="18">
        <f t="shared" si="10"/>
        <v>840084258.09757805</v>
      </c>
      <c r="N46" s="18">
        <f>SUM(B46:M46)</f>
        <v>4590584726.1858006</v>
      </c>
    </row>
    <row r="47" spans="1:14">
      <c r="F47" s="20"/>
      <c r="G47" s="20"/>
      <c r="H47" s="20"/>
      <c r="I47" s="21"/>
      <c r="J47" s="21"/>
      <c r="K47" s="20"/>
      <c r="L47" s="21"/>
      <c r="M47" s="20"/>
      <c r="N47" s="13"/>
    </row>
  </sheetData>
  <mergeCells count="1">
    <mergeCell ref="B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 Customer Addition</vt:lpstr>
      <vt:lpstr>Recovery 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Masood Qamer</dc:creator>
  <cp:lastModifiedBy>Masood Qamer</cp:lastModifiedBy>
  <dcterms:created xsi:type="dcterms:W3CDTF">2026-06-15T10:54:24Z</dcterms:created>
  <dcterms:modified xsi:type="dcterms:W3CDTF">2026-06-15T10:54:47Z</dcterms:modified>
</cp:coreProperties>
</file>